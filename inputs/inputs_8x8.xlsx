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5B1FF2D1-0CE8-4071-85B6-5A190E0DCEFC}" xr6:coauthVersionLast="47" xr6:coauthVersionMax="47" xr10:uidLastSave="{00000000-0000-0000-0000-000000000000}"/>
  <bookViews>
    <workbookView xWindow="1428" yWindow="1428" windowWidth="11364" windowHeight="9756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K50" i="1"/>
  <c r="K51" i="1"/>
  <c r="K52" i="1"/>
  <c r="K53" i="1"/>
  <c r="K54" i="1"/>
  <c r="K55" i="1"/>
  <c r="K56" i="1"/>
  <c r="K57" i="1"/>
  <c r="K58" i="1"/>
  <c r="K60" i="1"/>
  <c r="K61" i="1"/>
  <c r="K62" i="1"/>
  <c r="K63" i="1"/>
  <c r="K64" i="1"/>
  <c r="K4" i="1"/>
  <c r="K5" i="1"/>
  <c r="K6" i="1"/>
  <c r="K7" i="1"/>
  <c r="K8" i="1"/>
  <c r="L8" i="1" s="1"/>
  <c r="K10" i="1"/>
  <c r="K11" i="1"/>
  <c r="L11" i="1" s="1"/>
  <c r="K12" i="1"/>
  <c r="L12" i="1" s="1"/>
  <c r="K13" i="1"/>
  <c r="L13" i="1" s="1"/>
  <c r="K14" i="1"/>
  <c r="L14" i="1" s="1"/>
  <c r="K15" i="1"/>
  <c r="K16" i="1"/>
  <c r="K17" i="1"/>
  <c r="K18" i="1"/>
  <c r="K19" i="1"/>
  <c r="K20" i="1"/>
  <c r="L20" i="1" s="1"/>
  <c r="K21" i="1"/>
  <c r="K22" i="1"/>
  <c r="K23" i="1"/>
  <c r="L23" i="1" s="1"/>
  <c r="K24" i="1"/>
  <c r="L24" i="1" s="1"/>
  <c r="K25" i="1"/>
  <c r="L25" i="1" s="1"/>
  <c r="K26" i="1"/>
  <c r="L26" i="1" s="1"/>
  <c r="L3" i="1"/>
  <c r="L22" i="1"/>
  <c r="L21" i="1"/>
  <c r="L19" i="1"/>
  <c r="L18" i="1"/>
  <c r="L17" i="1"/>
  <c r="L16" i="1"/>
  <c r="L15" i="1"/>
  <c r="L10" i="1"/>
  <c r="L9" i="1"/>
  <c r="L7" i="1"/>
  <c r="L6" i="1"/>
  <c r="L5" i="1"/>
  <c r="L4" i="1"/>
</calcChain>
</file>

<file path=xl/sharedStrings.xml><?xml version="1.0" encoding="utf-8"?>
<sst xmlns="http://schemas.openxmlformats.org/spreadsheetml/2006/main" count="119" uniqueCount="111">
  <si>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</si>
  <si>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</si>
  <si>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</si>
  <si>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</si>
  <si>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</si>
  <si>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</si>
  <si>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</si>
  <si>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</si>
  <si>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</si>
  <si>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</si>
  <si>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</si>
  <si>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[11, 4]</t>
  </si>
  <si>
    <t>[12, 3, 5]</t>
  </si>
  <si>
    <t>[13, 4, 6]</t>
  </si>
  <si>
    <t>[14, 5, 7]</t>
  </si>
  <si>
    <t>[15, 6]</t>
  </si>
  <si>
    <t>[17, 10]</t>
  </si>
  <si>
    <t>[18, 9, 11]</t>
  </si>
  <si>
    <t>[3, 19, 10, 12]</t>
  </si>
  <si>
    <t>[4, 20, 11, 13]</t>
  </si>
  <si>
    <t>[5, 21, 12, 14]</t>
  </si>
  <si>
    <t>[6, 22, 13, 15]</t>
  </si>
  <si>
    <t>[7, 23, 14, 16]</t>
  </si>
  <si>
    <t>[24, 15]</t>
  </si>
  <si>
    <t>[9, 25]</t>
  </si>
  <si>
    <t>[10, 26, 19]</t>
  </si>
  <si>
    <t>[11, 27, 18, 20]</t>
  </si>
  <si>
    <t>[12, 28, 19, 21]</t>
  </si>
  <si>
    <t>[13, 29, 20, 22]</t>
  </si>
  <si>
    <t>[14, 30, 21, 23]</t>
  </si>
  <si>
    <t>[15, 31, 22, 24]</t>
  </si>
  <si>
    <t>[16, 32, 23]</t>
  </si>
  <si>
    <t>[17, 33, 26]</t>
  </si>
  <si>
    <t>[18, 34, 25, 27]</t>
  </si>
  <si>
    <t>[19, 35, 26, 28]</t>
  </si>
  <si>
    <t>[20, 36, 27, 29]</t>
  </si>
  <si>
    <t>[21, 37, 28, 30]</t>
  </si>
  <si>
    <t>[22, 29, 31]</t>
  </si>
  <si>
    <t>[23, 39, 30, 32]</t>
  </si>
  <si>
    <t>[24, 40, 31]</t>
  </si>
  <si>
    <t>[25, 41, 34]</t>
  </si>
  <si>
    <t>[26, 42, 33, 35]</t>
  </si>
  <si>
    <t>[27, 43, 34, 36]</t>
  </si>
  <si>
    <t>[28, 44, 35, 37]</t>
  </si>
  <si>
    <t>[29, 45, 36, 38]</t>
  </si>
  <si>
    <t>[46, 37, 39]</t>
  </si>
  <si>
    <t>[31, 38, 40]</t>
  </si>
  <si>
    <t>[32, 39]</t>
  </si>
  <si>
    <t>[33, 49, 42]</t>
  </si>
  <si>
    <t>[34, 50, 41, 43]</t>
  </si>
  <si>
    <t>[35, 51, 42, 44]</t>
  </si>
  <si>
    <t>[36, 52, 43, 45]</t>
  </si>
  <si>
    <t>[37, 53, 44, 46]</t>
  </si>
  <si>
    <t>[38, 54, 45]</t>
  </si>
  <si>
    <t>[56]</t>
  </si>
  <si>
    <t>[41, 57, 50]</t>
  </si>
  <si>
    <t>[42, 49, 51]</t>
  </si>
  <si>
    <t>[43, 59, 50]</t>
  </si>
  <si>
    <t>[44, 60]</t>
  </si>
  <si>
    <t>[45, 54]</t>
  </si>
  <si>
    <t>[46, 62, 53, 55]</t>
  </si>
  <si>
    <t>[54, 56]</t>
  </si>
  <si>
    <t>[48, 55]</t>
  </si>
  <si>
    <t>[49]</t>
  </si>
  <si>
    <t>[51, 60]</t>
  </si>
  <si>
    <t>[52, 59, 61]</t>
  </si>
  <si>
    <t>[60, 62]</t>
  </si>
  <si>
    <t>[54, 61, 63]</t>
  </si>
  <si>
    <t>[62]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</si>
  <si>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</si>
  <si>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</si>
  <si>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</si>
  <si>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</si>
  <si>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</si>
  <si>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</si>
  <si>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</si>
  <si>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</si>
  <si>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</si>
  <si>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</si>
  <si>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</si>
  <si>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</si>
  <si>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</si>
  <si>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</si>
  <si>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</si>
  <si>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</si>
  <si>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</si>
  <si>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</si>
  <si>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</si>
  <si>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</si>
  <si>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</si>
  <si>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</si>
  <si>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</si>
  <si>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</si>
  <si>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</si>
  <si>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</si>
  <si>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</si>
  <si>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</si>
  <si>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</si>
  <si>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</si>
  <si>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</si>
  <si>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52-53;51-52;53-61;40-48;55-63;17-18;30-38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</si>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</sst>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opLeftCell="A21" workbookViewId="0">
      <selection activeCell="M1" sqref="M1:M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108</v>
      </c>
      <c r="L1" s="2" t="s">
        <v>109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 t="s">
        <v>10</v>
      </c>
      <c r="K3">
        <v>0</v>
      </c>
      <c r="L3">
        <f>H3*K3</f>
        <v>0</v>
      </c>
    </row>
    <row r="4" spans="1:12" x14ac:dyDescent="0.3">
      <c r="A4">
        <v>3</v>
      </c>
      <c r="B4">
        <v>1250</v>
      </c>
      <c r="C4">
        <v>250</v>
      </c>
      <c r="D4">
        <v>72.514019000000005</v>
      </c>
      <c r="E4">
        <v>43.624574000000003</v>
      </c>
      <c r="F4">
        <v>30.537202000000001</v>
      </c>
      <c r="G4">
        <v>6.3267863574999996</v>
      </c>
      <c r="H4">
        <v>1584.531782</v>
      </c>
      <c r="I4">
        <v>0</v>
      </c>
      <c r="J4" t="s">
        <v>11</v>
      </c>
      <c r="K4">
        <f>((parameters!$B$3/2)/inputs_df!E4)+((parameters!$B$3/2)/inputs_df!F4)</f>
        <v>13.917450627799592</v>
      </c>
      <c r="L4">
        <f t="shared" ref="L4:L65" si="0">H4*K4</f>
        <v>22052.642844164307</v>
      </c>
    </row>
    <row r="5" spans="1:12" x14ac:dyDescent="0.3">
      <c r="A5">
        <v>4</v>
      </c>
      <c r="B5">
        <v>1750</v>
      </c>
      <c r="C5">
        <v>250</v>
      </c>
      <c r="D5">
        <v>58.760945999999997</v>
      </c>
      <c r="E5">
        <v>44.253013000000003</v>
      </c>
      <c r="F5">
        <v>30.977108999999999</v>
      </c>
      <c r="G5">
        <v>5.2006978077000001</v>
      </c>
      <c r="H5">
        <v>1607.3579500000001</v>
      </c>
      <c r="I5">
        <v>0</v>
      </c>
      <c r="J5" t="s">
        <v>12</v>
      </c>
      <c r="K5">
        <f>((parameters!$B$3/2)/inputs_df!E5)+((parameters!$B$3/2)/inputs_df!F5)</f>
        <v>13.719808373178619</v>
      </c>
      <c r="L5">
        <f t="shared" si="0"/>
        <v>22052.64306110522</v>
      </c>
    </row>
    <row r="6" spans="1:12" x14ac:dyDescent="0.3">
      <c r="A6">
        <v>5</v>
      </c>
      <c r="B6">
        <v>2250</v>
      </c>
      <c r="C6">
        <v>250</v>
      </c>
      <c r="D6">
        <v>39.922578999999999</v>
      </c>
      <c r="E6">
        <v>39.874653000000002</v>
      </c>
      <c r="F6">
        <v>27.912257</v>
      </c>
      <c r="G6">
        <v>3.1837979344999998</v>
      </c>
      <c r="H6">
        <v>1448.327145</v>
      </c>
      <c r="I6">
        <v>0</v>
      </c>
      <c r="J6" t="s">
        <v>13</v>
      </c>
      <c r="K6">
        <f>((parameters!$B$3/2)/inputs_df!E6)+((parameters!$B$3/2)/inputs_df!F6)</f>
        <v>15.226285691373338</v>
      </c>
      <c r="L6">
        <f t="shared" si="0"/>
        <v>22052.642884341098</v>
      </c>
    </row>
    <row r="7" spans="1:12" x14ac:dyDescent="0.3">
      <c r="A7">
        <v>6</v>
      </c>
      <c r="B7">
        <v>2750</v>
      </c>
      <c r="C7">
        <v>250</v>
      </c>
      <c r="D7">
        <v>26.127406000000001</v>
      </c>
      <c r="E7">
        <v>36.375604000000003</v>
      </c>
      <c r="F7">
        <v>25.462923</v>
      </c>
      <c r="G7">
        <v>1.9008003804</v>
      </c>
      <c r="H7">
        <v>1321.2346930000001</v>
      </c>
      <c r="I7">
        <v>1</v>
      </c>
      <c r="J7" t="s">
        <v>14</v>
      </c>
      <c r="K7">
        <f>((parameters!$B$3/2)/inputs_df!E7)+((parameters!$B$3/2)/inputs_df!F7)</f>
        <v>16.690935340555662</v>
      </c>
      <c r="L7">
        <f t="shared" si="0"/>
        <v>22052.642830561912</v>
      </c>
    </row>
    <row r="8" spans="1:12" x14ac:dyDescent="0.3">
      <c r="A8">
        <v>7</v>
      </c>
      <c r="B8">
        <v>3250</v>
      </c>
      <c r="C8">
        <v>250</v>
      </c>
      <c r="D8">
        <v>21.262574999999998</v>
      </c>
      <c r="E8">
        <v>37.729225999999997</v>
      </c>
      <c r="F8">
        <v>26.410457999999998</v>
      </c>
      <c r="G8">
        <v>1.6044409504999999</v>
      </c>
      <c r="H8">
        <v>1370.40093</v>
      </c>
      <c r="I8">
        <v>0</v>
      </c>
      <c r="J8" t="s">
        <v>15</v>
      </c>
      <c r="K8">
        <f>((parameters!$B$3/2)/inputs_df!E8)+((parameters!$B$3/2)/inputs_df!F8)</f>
        <v>16.092110128297186</v>
      </c>
      <c r="L8">
        <f t="shared" si="0"/>
        <v>22052.642685480885</v>
      </c>
    </row>
    <row r="9" spans="1:12" x14ac:dyDescent="0.3">
      <c r="A9">
        <v>8</v>
      </c>
      <c r="B9">
        <v>3750</v>
      </c>
      <c r="C9">
        <v>250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 t="s">
        <v>10</v>
      </c>
      <c r="K9">
        <v>0</v>
      </c>
      <c r="L9">
        <f t="shared" si="0"/>
        <v>0</v>
      </c>
    </row>
    <row r="10" spans="1:12" x14ac:dyDescent="0.3">
      <c r="A10">
        <v>9</v>
      </c>
      <c r="B10">
        <v>250</v>
      </c>
      <c r="C10">
        <v>750</v>
      </c>
      <c r="D10">
        <v>55.404884000000003</v>
      </c>
      <c r="E10">
        <v>25.977072</v>
      </c>
      <c r="F10">
        <v>18.183951</v>
      </c>
      <c r="G10">
        <v>2.8785133696999998</v>
      </c>
      <c r="H10">
        <v>943.53922</v>
      </c>
      <c r="I10">
        <v>1</v>
      </c>
      <c r="J10" t="s">
        <v>16</v>
      </c>
      <c r="K10">
        <f>((parameters!$B$3/2)/inputs_df!E10)+((parameters!$B$3/2)/inputs_df!F10)</f>
        <v>23.372258634788601</v>
      </c>
      <c r="L10">
        <f t="shared" si="0"/>
        <v>22052.642681906702</v>
      </c>
    </row>
    <row r="11" spans="1:12" x14ac:dyDescent="0.3">
      <c r="A11">
        <v>10</v>
      </c>
      <c r="B11">
        <v>750</v>
      </c>
      <c r="C11">
        <v>750</v>
      </c>
      <c r="D11">
        <v>59.292926000000001</v>
      </c>
      <c r="E11">
        <v>31.732776999999999</v>
      </c>
      <c r="F11">
        <v>22.212944</v>
      </c>
      <c r="G11">
        <v>3.7630584195000001</v>
      </c>
      <c r="H11">
        <v>1152.597941</v>
      </c>
      <c r="I11">
        <v>0</v>
      </c>
      <c r="J11" t="s">
        <v>17</v>
      </c>
      <c r="K11">
        <f>((parameters!$B$3/2)/inputs_df!E11)+((parameters!$B$3/2)/inputs_df!F11)</f>
        <v>19.1329884407861</v>
      </c>
      <c r="L11">
        <f t="shared" si="0"/>
        <v>22052.643082026858</v>
      </c>
    </row>
    <row r="12" spans="1:12" x14ac:dyDescent="0.3">
      <c r="A12">
        <v>11</v>
      </c>
      <c r="B12">
        <v>1250</v>
      </c>
      <c r="C12">
        <v>750</v>
      </c>
      <c r="D12">
        <v>60.497362000000003</v>
      </c>
      <c r="E12">
        <v>36.913839000000003</v>
      </c>
      <c r="F12">
        <v>25.839687000000001</v>
      </c>
      <c r="G12">
        <v>4.4663798028999997</v>
      </c>
      <c r="H12">
        <v>1340.7844689999999</v>
      </c>
      <c r="I12">
        <v>0</v>
      </c>
      <c r="J12" t="s">
        <v>18</v>
      </c>
      <c r="K12">
        <f>((parameters!$B$3/2)/inputs_df!E12)+((parameters!$B$3/2)/inputs_df!F12)</f>
        <v>16.447567571861132</v>
      </c>
      <c r="L12">
        <f t="shared" si="0"/>
        <v>22052.643153179448</v>
      </c>
    </row>
    <row r="13" spans="1:12" x14ac:dyDescent="0.3">
      <c r="A13">
        <v>12</v>
      </c>
      <c r="B13">
        <v>1750</v>
      </c>
      <c r="C13">
        <v>750</v>
      </c>
      <c r="D13">
        <v>51.996471999999997</v>
      </c>
      <c r="E13">
        <v>36.643891000000004</v>
      </c>
      <c r="F13">
        <v>25.650724</v>
      </c>
      <c r="G13">
        <v>3.8107060812000002</v>
      </c>
      <c r="H13">
        <v>1330.9794039999999</v>
      </c>
      <c r="I13">
        <v>0</v>
      </c>
      <c r="J13" t="s">
        <v>19</v>
      </c>
      <c r="K13">
        <f>((parameters!$B$3/2)/inputs_df!E13)+((parameters!$B$3/2)/inputs_df!F13)</f>
        <v>16.56873318845604</v>
      </c>
      <c r="L13">
        <f t="shared" si="0"/>
        <v>22052.642624206237</v>
      </c>
    </row>
    <row r="14" spans="1:12" x14ac:dyDescent="0.3">
      <c r="A14">
        <v>13</v>
      </c>
      <c r="B14">
        <v>2250</v>
      </c>
      <c r="C14">
        <v>750</v>
      </c>
      <c r="D14">
        <v>35.135131999999999</v>
      </c>
      <c r="E14">
        <v>32.772939000000001</v>
      </c>
      <c r="F14">
        <v>22.941057000000001</v>
      </c>
      <c r="G14">
        <v>2.3029630763000002</v>
      </c>
      <c r="H14">
        <v>1190.378676</v>
      </c>
      <c r="I14">
        <v>0</v>
      </c>
      <c r="J14" t="s">
        <v>20</v>
      </c>
      <c r="K14">
        <f>((parameters!$B$3/2)/inputs_df!E14)+((parameters!$B$3/2)/inputs_df!F14)</f>
        <v>18.525737402227222</v>
      </c>
      <c r="L14">
        <f t="shared" si="0"/>
        <v>22052.642760786919</v>
      </c>
    </row>
    <row r="15" spans="1:12" x14ac:dyDescent="0.3">
      <c r="A15">
        <v>14</v>
      </c>
      <c r="B15">
        <v>2750</v>
      </c>
      <c r="C15">
        <v>750</v>
      </c>
      <c r="D15">
        <v>22.419954000000001</v>
      </c>
      <c r="E15">
        <v>31.655881999999998</v>
      </c>
      <c r="F15">
        <v>22.159116999999998</v>
      </c>
      <c r="G15">
        <v>1.4194468659999999</v>
      </c>
      <c r="H15">
        <v>1149.804948</v>
      </c>
      <c r="I15">
        <v>0</v>
      </c>
      <c r="J15" t="s">
        <v>21</v>
      </c>
      <c r="K15">
        <f>((parameters!$B$3/2)/inputs_df!E15)+((parameters!$B$3/2)/inputs_df!F15)</f>
        <v>19.179464454338564</v>
      </c>
      <c r="L15">
        <f t="shared" si="0"/>
        <v>22052.6431295886</v>
      </c>
    </row>
    <row r="16" spans="1:12" x14ac:dyDescent="0.3">
      <c r="A16">
        <v>15</v>
      </c>
      <c r="B16">
        <v>3250</v>
      </c>
      <c r="C16">
        <v>750</v>
      </c>
      <c r="D16">
        <v>20.464220999999998</v>
      </c>
      <c r="E16">
        <v>36.394908999999998</v>
      </c>
      <c r="F16">
        <v>25.476436</v>
      </c>
      <c r="G16">
        <v>1.489586917</v>
      </c>
      <c r="H16">
        <v>1321.9358689999999</v>
      </c>
      <c r="I16">
        <v>0</v>
      </c>
      <c r="J16" t="s">
        <v>22</v>
      </c>
      <c r="K16">
        <f>((parameters!$B$3/2)/inputs_df!E16)+((parameters!$B$3/2)/inputs_df!F16)</f>
        <v>16.682082138148061</v>
      </c>
      <c r="L16">
        <f t="shared" si="0"/>
        <v>22052.642748022135</v>
      </c>
    </row>
    <row r="17" spans="1:12" x14ac:dyDescent="0.3">
      <c r="A17">
        <v>16</v>
      </c>
      <c r="B17">
        <v>3750</v>
      </c>
      <c r="C17">
        <v>750</v>
      </c>
      <c r="D17">
        <v>22.789550999999999</v>
      </c>
      <c r="E17">
        <v>42.031505000000003</v>
      </c>
      <c r="F17">
        <v>29.422053999999999</v>
      </c>
      <c r="G17">
        <v>1.9157582870000001</v>
      </c>
      <c r="H17">
        <v>1526.6683370000001</v>
      </c>
      <c r="I17">
        <v>0</v>
      </c>
      <c r="J17" t="s">
        <v>23</v>
      </c>
      <c r="K17">
        <f>((parameters!$B$3/2)/inputs_df!E17)+((parameters!$B$3/2)/inputs_df!F17)</f>
        <v>14.444946738727339</v>
      </c>
      <c r="L17">
        <f t="shared" si="0"/>
        <v>22052.642815666441</v>
      </c>
    </row>
    <row r="18" spans="1:12" x14ac:dyDescent="0.3">
      <c r="A18">
        <v>17</v>
      </c>
      <c r="B18">
        <v>250</v>
      </c>
      <c r="C18">
        <v>1250</v>
      </c>
      <c r="D18">
        <v>28.630897000000001</v>
      </c>
      <c r="E18">
        <v>20.813728999999999</v>
      </c>
      <c r="F18">
        <v>14.569610000000001</v>
      </c>
      <c r="G18">
        <v>1.1918314607</v>
      </c>
      <c r="H18">
        <v>755.99625800000001</v>
      </c>
      <c r="I18">
        <v>0</v>
      </c>
      <c r="J18" t="s">
        <v>24</v>
      </c>
      <c r="K18">
        <f>((parameters!$B$3/2)/inputs_df!E18)+((parameters!$B$3/2)/inputs_df!F18)</f>
        <v>29.170306988080611</v>
      </c>
      <c r="L18">
        <f t="shared" si="0"/>
        <v>22052.642927700192</v>
      </c>
    </row>
    <row r="19" spans="1:12" x14ac:dyDescent="0.3">
      <c r="A19">
        <v>18</v>
      </c>
      <c r="B19">
        <v>750</v>
      </c>
      <c r="C19">
        <v>1250</v>
      </c>
      <c r="D19">
        <v>40.636932000000002</v>
      </c>
      <c r="E19">
        <v>25.984708000000001</v>
      </c>
      <c r="F19">
        <v>18.189295999999999</v>
      </c>
      <c r="G19">
        <v>2.1118776669999999</v>
      </c>
      <c r="H19">
        <v>943.81658100000004</v>
      </c>
      <c r="I19">
        <v>0</v>
      </c>
      <c r="J19" t="s">
        <v>25</v>
      </c>
      <c r="K19">
        <f>((parameters!$B$3/2)/inputs_df!E19)+((parameters!$B$3/2)/inputs_df!F19)</f>
        <v>23.365390493860637</v>
      </c>
      <c r="L19">
        <f t="shared" si="0"/>
        <v>22052.642969645451</v>
      </c>
    </row>
    <row r="20" spans="1:12" x14ac:dyDescent="0.3">
      <c r="A20">
        <v>19</v>
      </c>
      <c r="B20">
        <v>1250</v>
      </c>
      <c r="C20">
        <v>1250</v>
      </c>
      <c r="D20">
        <v>51.415087</v>
      </c>
      <c r="E20">
        <v>30.142595</v>
      </c>
      <c r="F20">
        <v>21.099816000000001</v>
      </c>
      <c r="G20">
        <v>3.0995682486999998</v>
      </c>
      <c r="H20">
        <v>1094.839328</v>
      </c>
      <c r="I20">
        <v>0</v>
      </c>
      <c r="J20" t="s">
        <v>26</v>
      </c>
      <c r="K20">
        <f>((parameters!$B$3/2)/inputs_df!E20)+((parameters!$B$3/2)/inputs_df!F20)</f>
        <v>20.14235554722584</v>
      </c>
      <c r="L20">
        <f t="shared" si="0"/>
        <v>22052.64301166181</v>
      </c>
    </row>
    <row r="21" spans="1:12" x14ac:dyDescent="0.3">
      <c r="A21">
        <v>20</v>
      </c>
      <c r="B21">
        <v>1750</v>
      </c>
      <c r="C21">
        <v>1250</v>
      </c>
      <c r="D21">
        <v>48.513117000000001</v>
      </c>
      <c r="E21">
        <v>29.650234000000001</v>
      </c>
      <c r="F21">
        <v>20.755164000000001</v>
      </c>
      <c r="G21">
        <v>2.8768505496999999</v>
      </c>
      <c r="H21">
        <v>1076.9558059999999</v>
      </c>
      <c r="I21">
        <v>0</v>
      </c>
      <c r="J21" t="s">
        <v>27</v>
      </c>
      <c r="K21">
        <f>((parameters!$B$3/2)/inputs_df!E21)+((parameters!$B$3/2)/inputs_df!F21)</f>
        <v>20.476831774797219</v>
      </c>
      <c r="L21">
        <f t="shared" si="0"/>
        <v>22052.642868353149</v>
      </c>
    </row>
    <row r="22" spans="1:12" x14ac:dyDescent="0.3">
      <c r="A22">
        <v>21</v>
      </c>
      <c r="B22">
        <v>2250</v>
      </c>
      <c r="C22">
        <v>1250</v>
      </c>
      <c r="D22">
        <v>33.046723</v>
      </c>
      <c r="E22">
        <v>27.505828999999999</v>
      </c>
      <c r="F22">
        <v>19.254079999999998</v>
      </c>
      <c r="G22">
        <v>1.8179550293</v>
      </c>
      <c r="H22">
        <v>999.06671600000004</v>
      </c>
      <c r="I22">
        <v>0</v>
      </c>
      <c r="J22" t="s">
        <v>28</v>
      </c>
      <c r="K22">
        <f>((parameters!$B$3/2)/inputs_df!E22)+((parameters!$B$3/2)/inputs_df!F22)</f>
        <v>22.073243555303875</v>
      </c>
      <c r="L22">
        <f t="shared" si="0"/>
        <v>22052.642950265606</v>
      </c>
    </row>
    <row r="23" spans="1:12" x14ac:dyDescent="0.3">
      <c r="A23">
        <v>22</v>
      </c>
      <c r="B23">
        <v>2750</v>
      </c>
      <c r="C23">
        <v>1250</v>
      </c>
      <c r="D23">
        <v>20.292770000000001</v>
      </c>
      <c r="E23">
        <v>29.877063</v>
      </c>
      <c r="F23">
        <v>20.913944000000001</v>
      </c>
      <c r="G23">
        <v>1.212576761</v>
      </c>
      <c r="H23">
        <v>1085.1946840000001</v>
      </c>
      <c r="I23">
        <v>0</v>
      </c>
      <c r="J23" t="s">
        <v>29</v>
      </c>
      <c r="K23">
        <f>((parameters!$B$3/2)/inputs_df!E23)+((parameters!$B$3/2)/inputs_df!F23)</f>
        <v>20.321370238116621</v>
      </c>
      <c r="L23">
        <f t="shared" si="0"/>
        <v>22052.642953999974</v>
      </c>
    </row>
    <row r="24" spans="1:12" x14ac:dyDescent="0.3">
      <c r="A24">
        <v>23</v>
      </c>
      <c r="B24">
        <v>3250</v>
      </c>
      <c r="C24">
        <v>1250</v>
      </c>
      <c r="D24">
        <v>20</v>
      </c>
      <c r="E24">
        <v>38.435730999999997</v>
      </c>
      <c r="F24">
        <v>26.905011999999999</v>
      </c>
      <c r="G24">
        <v>1.5374292490999999</v>
      </c>
      <c r="H24">
        <v>1396.0626299999999</v>
      </c>
      <c r="I24">
        <v>0</v>
      </c>
      <c r="J24" t="s">
        <v>30</v>
      </c>
      <c r="K24">
        <f>((parameters!$B$3/2)/inputs_df!E24)+((parameters!$B$3/2)/inputs_df!F24)</f>
        <v>15.796313413698137</v>
      </c>
      <c r="L24">
        <f t="shared" si="0"/>
        <v>22052.642848631698</v>
      </c>
    </row>
    <row r="25" spans="1:12" x14ac:dyDescent="0.3">
      <c r="A25">
        <v>24</v>
      </c>
      <c r="B25">
        <v>3750</v>
      </c>
      <c r="C25">
        <v>1250</v>
      </c>
      <c r="D25">
        <v>25.219155000000001</v>
      </c>
      <c r="E25">
        <v>46.543218000000003</v>
      </c>
      <c r="F25">
        <v>32.580252000000002</v>
      </c>
      <c r="G25">
        <v>2.3475612259999998</v>
      </c>
      <c r="H25">
        <v>1690.542758</v>
      </c>
      <c r="I25">
        <v>0</v>
      </c>
      <c r="J25" t="s">
        <v>31</v>
      </c>
      <c r="K25">
        <f>((parameters!$B$3/2)/inputs_df!E25)+((parameters!$B$3/2)/inputs_df!F25)</f>
        <v>13.044711771326657</v>
      </c>
      <c r="L25">
        <f t="shared" si="0"/>
        <v>22052.643015213634</v>
      </c>
    </row>
    <row r="26" spans="1:12" x14ac:dyDescent="0.3">
      <c r="A26">
        <v>25</v>
      </c>
      <c r="B26">
        <v>250</v>
      </c>
      <c r="C26">
        <v>1750</v>
      </c>
      <c r="D26">
        <v>21.940819000000001</v>
      </c>
      <c r="E26">
        <v>20.69</v>
      </c>
      <c r="F26">
        <v>14.483000000000001</v>
      </c>
      <c r="G26">
        <v>0.90791110730000002</v>
      </c>
      <c r="H26">
        <v>751.50217999999995</v>
      </c>
      <c r="I26">
        <v>0</v>
      </c>
      <c r="J26" t="s">
        <v>32</v>
      </c>
      <c r="K26">
        <f>((parameters!$B$3/2)/inputs_df!E26)+((parameters!$B$3/2)/inputs_df!F26)</f>
        <v>29.344749016087825</v>
      </c>
      <c r="L26">
        <f t="shared" si="0"/>
        <v>22052.642857142855</v>
      </c>
    </row>
    <row r="27" spans="1:12" x14ac:dyDescent="0.3">
      <c r="A27">
        <v>26</v>
      </c>
      <c r="B27">
        <v>750</v>
      </c>
      <c r="C27">
        <v>1750</v>
      </c>
      <c r="D27">
        <v>40.229868000000003</v>
      </c>
      <c r="E27">
        <v>25.026526</v>
      </c>
      <c r="F27">
        <v>17.518567999999998</v>
      </c>
      <c r="G27">
        <v>2.0136276516999998</v>
      </c>
      <c r="H27">
        <v>909.01346599999999</v>
      </c>
      <c r="I27">
        <v>0</v>
      </c>
      <c r="J27" t="s">
        <v>33</v>
      </c>
      <c r="K27">
        <f>((parameters!$B$3/2)/inputs_df!E27)+((parameters!$B$3/2)/inputs_df!F27)</f>
        <v>24.259973646368806</v>
      </c>
      <c r="L27">
        <f t="shared" si="0"/>
        <v>22052.642729354367</v>
      </c>
    </row>
    <row r="28" spans="1:12" x14ac:dyDescent="0.3">
      <c r="A28">
        <v>27</v>
      </c>
      <c r="B28">
        <v>1250</v>
      </c>
      <c r="C28">
        <v>1750</v>
      </c>
      <c r="D28">
        <v>57.249966999999998</v>
      </c>
      <c r="E28">
        <v>28.38514</v>
      </c>
      <c r="F28">
        <v>19.869598</v>
      </c>
      <c r="G28">
        <v>3.2500966582999999</v>
      </c>
      <c r="H28">
        <v>1031.0050470000001</v>
      </c>
      <c r="I28">
        <v>0</v>
      </c>
      <c r="J28" t="s">
        <v>34</v>
      </c>
      <c r="K28">
        <f>((parameters!$B$3/2)/inputs_df!E28)+((parameters!$B$3/2)/inputs_df!F28)</f>
        <v>21.389461427453135</v>
      </c>
      <c r="L28">
        <f t="shared" si="0"/>
        <v>22052.642684316008</v>
      </c>
    </row>
    <row r="29" spans="1:12" x14ac:dyDescent="0.3">
      <c r="A29">
        <v>28</v>
      </c>
      <c r="B29">
        <v>1750</v>
      </c>
      <c r="C29">
        <v>1750</v>
      </c>
      <c r="D29">
        <v>57.270502</v>
      </c>
      <c r="E29">
        <v>28.813053</v>
      </c>
      <c r="F29">
        <v>20.169136999999999</v>
      </c>
      <c r="G29">
        <v>3.3002760317000002</v>
      </c>
      <c r="H29">
        <v>1046.5477089999999</v>
      </c>
      <c r="I29">
        <v>1</v>
      </c>
      <c r="J29" t="s">
        <v>35</v>
      </c>
      <c r="K29">
        <f>((parameters!$B$3/2)/inputs_df!E29)+((parameters!$B$3/2)/inputs_df!F29)</f>
        <v>21.071798913971268</v>
      </c>
      <c r="L29">
        <f t="shared" si="0"/>
        <v>22052.642877925318</v>
      </c>
    </row>
    <row r="30" spans="1:12" x14ac:dyDescent="0.3">
      <c r="A30">
        <v>29</v>
      </c>
      <c r="B30">
        <v>2250</v>
      </c>
      <c r="C30">
        <v>1750</v>
      </c>
      <c r="D30">
        <v>42.515416999999999</v>
      </c>
      <c r="E30">
        <v>29.665859000000001</v>
      </c>
      <c r="F30">
        <v>20.766100999999999</v>
      </c>
      <c r="G30">
        <v>2.5225127146999999</v>
      </c>
      <c r="H30">
        <v>1077.523332</v>
      </c>
      <c r="I30">
        <v>0</v>
      </c>
      <c r="J30" t="s">
        <v>36</v>
      </c>
      <c r="K30">
        <f>((parameters!$B$3/2)/inputs_df!E30)+((parameters!$B$3/2)/inputs_df!F30)</f>
        <v>20.466046922907736</v>
      </c>
      <c r="L30">
        <f t="shared" si="0"/>
        <v>22052.643073239891</v>
      </c>
    </row>
    <row r="31" spans="1:12" x14ac:dyDescent="0.3">
      <c r="A31">
        <v>30</v>
      </c>
      <c r="B31">
        <v>2750</v>
      </c>
      <c r="C31">
        <v>1750</v>
      </c>
      <c r="D31">
        <v>28.556049999999999</v>
      </c>
      <c r="E31">
        <v>35.423233000000003</v>
      </c>
      <c r="F31">
        <v>24.796263</v>
      </c>
      <c r="G31">
        <v>2.0230952042000001</v>
      </c>
      <c r="H31">
        <v>1286.6426530000001</v>
      </c>
      <c r="I31">
        <v>0</v>
      </c>
      <c r="J31" t="s">
        <v>37</v>
      </c>
      <c r="K31">
        <f>((parameters!$B$3/2)/inputs_df!E31)+((parameters!$B$3/2)/inputs_df!F31)</f>
        <v>17.139679446626634</v>
      </c>
      <c r="L31">
        <f t="shared" si="0"/>
        <v>22052.642634777265</v>
      </c>
    </row>
    <row r="32" spans="1:12" x14ac:dyDescent="0.3">
      <c r="A32">
        <v>31</v>
      </c>
      <c r="B32">
        <v>3250</v>
      </c>
      <c r="C32">
        <v>1750</v>
      </c>
      <c r="D32">
        <v>25.861499999999999</v>
      </c>
      <c r="E32">
        <v>45.928601</v>
      </c>
      <c r="F32">
        <v>32.150019999999998</v>
      </c>
      <c r="G32">
        <v>2.3755650453000001</v>
      </c>
      <c r="H32">
        <v>1668.2186320000001</v>
      </c>
      <c r="I32">
        <v>0</v>
      </c>
      <c r="J32" t="s">
        <v>38</v>
      </c>
      <c r="K32">
        <f>((parameters!$B$3/2)/inputs_df!E32)+((parameters!$B$3/2)/inputs_df!F32)</f>
        <v>13.219276261406311</v>
      </c>
      <c r="L32">
        <f t="shared" si="0"/>
        <v>22052.642960833309</v>
      </c>
    </row>
    <row r="33" spans="1:12" x14ac:dyDescent="0.3">
      <c r="A33">
        <v>32</v>
      </c>
      <c r="B33">
        <v>3750</v>
      </c>
      <c r="C33">
        <v>1750</v>
      </c>
      <c r="D33">
        <v>29.603476000000001</v>
      </c>
      <c r="E33">
        <v>54.513089000000001</v>
      </c>
      <c r="F33">
        <v>38.159162000000002</v>
      </c>
      <c r="G33">
        <v>3.2275538601</v>
      </c>
      <c r="H33">
        <v>1980.024402</v>
      </c>
      <c r="I33">
        <v>0</v>
      </c>
      <c r="J33" t="s">
        <v>39</v>
      </c>
      <c r="K33">
        <f>((parameters!$B$3/2)/inputs_df!E33)+((parameters!$B$3/2)/inputs_df!F33)</f>
        <v>11.137561108500853</v>
      </c>
      <c r="L33">
        <f t="shared" si="0"/>
        <v>22052.642773597858</v>
      </c>
    </row>
    <row r="34" spans="1:12" x14ac:dyDescent="0.3">
      <c r="A34">
        <v>33</v>
      </c>
      <c r="B34">
        <v>250</v>
      </c>
      <c r="C34">
        <v>2250</v>
      </c>
      <c r="D34">
        <v>32.045276000000001</v>
      </c>
      <c r="E34">
        <v>24.994730000000001</v>
      </c>
      <c r="F34">
        <v>17.496310999999999</v>
      </c>
      <c r="G34">
        <v>1.6019260575000001</v>
      </c>
      <c r="H34">
        <v>907.85858599999995</v>
      </c>
      <c r="I34">
        <v>0</v>
      </c>
      <c r="J34" t="s">
        <v>40</v>
      </c>
      <c r="K34">
        <f>((parameters!$B$3/2)/inputs_df!E34)+((parameters!$B$3/2)/inputs_df!F34)</f>
        <v>24.290834793688795</v>
      </c>
      <c r="L34">
        <f t="shared" si="0"/>
        <v>22052.642928557911</v>
      </c>
    </row>
    <row r="35" spans="1:12" x14ac:dyDescent="0.3">
      <c r="A35">
        <v>34</v>
      </c>
      <c r="B35">
        <v>750</v>
      </c>
      <c r="C35">
        <v>2250</v>
      </c>
      <c r="D35">
        <v>53.815513000000003</v>
      </c>
      <c r="E35">
        <v>28.292862</v>
      </c>
      <c r="F35">
        <v>19.805004</v>
      </c>
      <c r="G35">
        <v>3.045189798</v>
      </c>
      <c r="H35">
        <v>1027.6533449999999</v>
      </c>
      <c r="I35">
        <v>0</v>
      </c>
      <c r="J35" t="s">
        <v>41</v>
      </c>
      <c r="K35">
        <f>((parameters!$B$3/2)/inputs_df!E35)+((parameters!$B$3/2)/inputs_df!F35)</f>
        <v>21.459223401403534</v>
      </c>
      <c r="L35">
        <f t="shared" si="0"/>
        <v>22052.642709554617</v>
      </c>
    </row>
    <row r="36" spans="1:12" x14ac:dyDescent="0.3">
      <c r="A36">
        <v>35</v>
      </c>
      <c r="B36">
        <v>1250</v>
      </c>
      <c r="C36">
        <v>2250</v>
      </c>
      <c r="D36">
        <v>73.725595999999996</v>
      </c>
      <c r="E36">
        <v>31.0215</v>
      </c>
      <c r="F36">
        <v>21.715050000000002</v>
      </c>
      <c r="G36">
        <v>4.5741571733999997</v>
      </c>
      <c r="H36">
        <v>1126.7629340000001</v>
      </c>
      <c r="I36">
        <v>0</v>
      </c>
      <c r="J36" t="s">
        <v>42</v>
      </c>
      <c r="K36">
        <f>((parameters!$B$3/2)/inputs_df!E36)+((parameters!$B$3/2)/inputs_df!F36)</f>
        <v>19.571679549436908</v>
      </c>
      <c r="L36">
        <f t="shared" si="0"/>
        <v>22052.643072431329</v>
      </c>
    </row>
    <row r="37" spans="1:12" x14ac:dyDescent="0.3">
      <c r="A37">
        <v>36</v>
      </c>
      <c r="B37">
        <v>1750</v>
      </c>
      <c r="C37">
        <v>2250</v>
      </c>
      <c r="D37">
        <v>75.972536000000005</v>
      </c>
      <c r="E37">
        <v>32.942692000000001</v>
      </c>
      <c r="F37">
        <v>23.059884</v>
      </c>
      <c r="G37">
        <v>5.0054796522</v>
      </c>
      <c r="H37">
        <v>1196.544451</v>
      </c>
      <c r="I37">
        <v>0</v>
      </c>
      <c r="J37" t="s">
        <v>43</v>
      </c>
      <c r="K37">
        <f>((parameters!$B$3/2)/inputs_df!E37)+((parameters!$B$3/2)/inputs_df!F37)</f>
        <v>18.430274712762014</v>
      </c>
      <c r="L37">
        <f t="shared" si="0"/>
        <v>22052.642937961005</v>
      </c>
    </row>
    <row r="38" spans="1:12" x14ac:dyDescent="0.3">
      <c r="A38">
        <v>37</v>
      </c>
      <c r="B38">
        <v>2250</v>
      </c>
      <c r="C38">
        <v>2250</v>
      </c>
      <c r="D38">
        <v>64.290096000000005</v>
      </c>
      <c r="E38">
        <v>36.835692000000002</v>
      </c>
      <c r="F38">
        <v>25.784984000000001</v>
      </c>
      <c r="G38">
        <v>4.7363403321000002</v>
      </c>
      <c r="H38">
        <v>1337.9460059999999</v>
      </c>
      <c r="I38">
        <v>0</v>
      </c>
      <c r="J38" t="s">
        <v>44</v>
      </c>
      <c r="K38">
        <f>((parameters!$B$3/2)/inputs_df!E38)+((parameters!$B$3/2)/inputs_df!F38)</f>
        <v>16.482461159768093</v>
      </c>
      <c r="L38">
        <f t="shared" si="0"/>
        <v>22052.643077761844</v>
      </c>
    </row>
    <row r="39" spans="1:12" x14ac:dyDescent="0.3">
      <c r="A39">
        <v>38</v>
      </c>
      <c r="B39">
        <v>2750</v>
      </c>
      <c r="C39">
        <v>2250</v>
      </c>
      <c r="D39">
        <v>50.801679999999998</v>
      </c>
      <c r="E39">
        <v>44.435263999999997</v>
      </c>
      <c r="F39">
        <v>31.104685</v>
      </c>
      <c r="G39">
        <v>4.5147721699999996</v>
      </c>
      <c r="H39">
        <v>1613.977674</v>
      </c>
      <c r="I39">
        <v>0</v>
      </c>
      <c r="J39" t="s">
        <v>45</v>
      </c>
      <c r="K39">
        <f>((parameters!$B$3/2)/inputs_df!E39)+((parameters!$B$3/2)/inputs_df!F39)</f>
        <v>13.663536574160208</v>
      </c>
      <c r="L39">
        <f t="shared" si="0"/>
        <v>22052.64297857702</v>
      </c>
    </row>
    <row r="40" spans="1:12" x14ac:dyDescent="0.3">
      <c r="A40">
        <v>39</v>
      </c>
      <c r="B40">
        <v>3250</v>
      </c>
      <c r="C40">
        <v>2250</v>
      </c>
      <c r="D40">
        <v>43.576298000000001</v>
      </c>
      <c r="E40">
        <v>54.010103000000001</v>
      </c>
      <c r="F40">
        <v>37.807071999999998</v>
      </c>
      <c r="G40">
        <v>4.7071207470000003</v>
      </c>
      <c r="H40">
        <v>1961.7549739999999</v>
      </c>
      <c r="I40">
        <v>0</v>
      </c>
      <c r="J40" t="s">
        <v>46</v>
      </c>
      <c r="K40">
        <f>((parameters!$B$3/2)/inputs_df!E40)+((parameters!$B$3/2)/inputs_df!F40)</f>
        <v>11.24128310008042</v>
      </c>
      <c r="L40">
        <f t="shared" si="0"/>
        <v>22052.643035724901</v>
      </c>
    </row>
    <row r="41" spans="1:12" x14ac:dyDescent="0.3">
      <c r="A41">
        <v>40</v>
      </c>
      <c r="B41">
        <v>3750</v>
      </c>
      <c r="C41">
        <v>2250</v>
      </c>
      <c r="D41">
        <v>42.285235999999998</v>
      </c>
      <c r="E41">
        <v>60.69</v>
      </c>
      <c r="F41">
        <v>42.482999999999997</v>
      </c>
      <c r="G41">
        <v>5.1325819416999998</v>
      </c>
      <c r="H41">
        <v>2204.3821800000001</v>
      </c>
      <c r="I41">
        <v>0</v>
      </c>
      <c r="J41" t="s">
        <v>47</v>
      </c>
      <c r="K41">
        <f>((parameters!$B$3/2)/inputs_df!E41)+((parameters!$B$3/2)/inputs_df!F41)</f>
        <v>10.004001600640258</v>
      </c>
      <c r="L41">
        <f t="shared" si="0"/>
        <v>22052.642857142862</v>
      </c>
    </row>
    <row r="42" spans="1:12" x14ac:dyDescent="0.3">
      <c r="A42">
        <v>41</v>
      </c>
      <c r="B42">
        <v>250</v>
      </c>
      <c r="C42">
        <v>2750</v>
      </c>
      <c r="D42">
        <v>44.711033999999998</v>
      </c>
      <c r="E42">
        <v>28.471095999999999</v>
      </c>
      <c r="F42">
        <v>19.929766999999998</v>
      </c>
      <c r="G42">
        <v>2.5459442913000001</v>
      </c>
      <c r="H42">
        <v>1034.1271609999999</v>
      </c>
      <c r="I42">
        <v>0</v>
      </c>
      <c r="J42" t="s">
        <v>48</v>
      </c>
      <c r="K42">
        <f>((parameters!$B$3/2)/inputs_df!E42)+((parameters!$B$3/2)/inputs_df!F42)</f>
        <v>21.324885446168686</v>
      </c>
      <c r="L42">
        <f t="shared" si="0"/>
        <v>22052.643245096639</v>
      </c>
    </row>
    <row r="43" spans="1:12" x14ac:dyDescent="0.3">
      <c r="A43">
        <v>42</v>
      </c>
      <c r="B43">
        <v>750</v>
      </c>
      <c r="C43">
        <v>2750</v>
      </c>
      <c r="D43">
        <v>67.409058999999999</v>
      </c>
      <c r="E43">
        <v>31.679085000000001</v>
      </c>
      <c r="F43">
        <v>22.175360000000001</v>
      </c>
      <c r="G43">
        <v>4.2709146192</v>
      </c>
      <c r="H43">
        <v>1150.647731</v>
      </c>
      <c r="I43">
        <v>0</v>
      </c>
      <c r="J43" t="s">
        <v>49</v>
      </c>
      <c r="K43">
        <f>((parameters!$B$3/2)/inputs_df!E43)+((parameters!$B$3/2)/inputs_df!F43)</f>
        <v>19.165416207259817</v>
      </c>
      <c r="L43">
        <f t="shared" si="0"/>
        <v>22052.642672554135</v>
      </c>
    </row>
    <row r="44" spans="1:12" x14ac:dyDescent="0.3">
      <c r="A44">
        <v>43</v>
      </c>
      <c r="B44">
        <v>1250</v>
      </c>
      <c r="C44">
        <v>2750</v>
      </c>
      <c r="D44">
        <v>88.098343999999997</v>
      </c>
      <c r="E44">
        <v>35.293280000000003</v>
      </c>
      <c r="F44">
        <v>24.705296000000001</v>
      </c>
      <c r="G44">
        <v>6.2185590721999997</v>
      </c>
      <c r="H44">
        <v>1281.922515</v>
      </c>
      <c r="I44">
        <v>0</v>
      </c>
      <c r="J44" t="s">
        <v>50</v>
      </c>
      <c r="K44">
        <f>((parameters!$B$3/2)/inputs_df!E44)+((parameters!$B$3/2)/inputs_df!F44)</f>
        <v>17.202789231912057</v>
      </c>
      <c r="L44">
        <f t="shared" si="0"/>
        <v>22052.642837187621</v>
      </c>
    </row>
    <row r="45" spans="1:12" x14ac:dyDescent="0.3">
      <c r="A45">
        <v>44</v>
      </c>
      <c r="B45">
        <v>1750</v>
      </c>
      <c r="C45">
        <v>2750</v>
      </c>
      <c r="D45">
        <v>93.080375000000004</v>
      </c>
      <c r="E45">
        <v>39.549128000000003</v>
      </c>
      <c r="F45">
        <v>27.684388999999999</v>
      </c>
      <c r="G45">
        <v>7.3624952526999996</v>
      </c>
      <c r="H45">
        <v>1436.503416</v>
      </c>
      <c r="I45">
        <v>0</v>
      </c>
      <c r="J45" t="s">
        <v>51</v>
      </c>
      <c r="K45">
        <f>((parameters!$B$3/2)/inputs_df!E45)+((parameters!$B$3/2)/inputs_df!F45)</f>
        <v>15.351611921334037</v>
      </c>
      <c r="L45">
        <f t="shared" si="0"/>
        <v>22052.642966102667</v>
      </c>
    </row>
    <row r="46" spans="1:12" x14ac:dyDescent="0.3">
      <c r="A46">
        <v>45</v>
      </c>
      <c r="B46">
        <v>2250</v>
      </c>
      <c r="C46">
        <v>2750</v>
      </c>
      <c r="D46">
        <v>86.591999999999999</v>
      </c>
      <c r="E46">
        <v>45.389502999999998</v>
      </c>
      <c r="F46">
        <v>31.772652000000001</v>
      </c>
      <c r="G46">
        <v>7.8607357439000003</v>
      </c>
      <c r="H46">
        <v>1648.6375410000001</v>
      </c>
      <c r="I46">
        <v>0</v>
      </c>
      <c r="J46" t="s">
        <v>52</v>
      </c>
      <c r="K46">
        <f>((parameters!$B$3/2)/inputs_df!E46)+((parameters!$B$3/2)/inputs_df!F46)</f>
        <v>13.376283460669629</v>
      </c>
      <c r="L46">
        <f t="shared" si="0"/>
        <v>22052.643072317347</v>
      </c>
    </row>
    <row r="47" spans="1:12" x14ac:dyDescent="0.3">
      <c r="A47">
        <v>46</v>
      </c>
      <c r="B47">
        <v>2750</v>
      </c>
      <c r="C47">
        <v>2750</v>
      </c>
      <c r="D47">
        <v>75.169782999999995</v>
      </c>
      <c r="E47">
        <v>51.795859</v>
      </c>
      <c r="F47">
        <v>36.257100999999999</v>
      </c>
      <c r="G47">
        <v>7.7869668722999998</v>
      </c>
      <c r="H47">
        <v>1881.3291730000001</v>
      </c>
      <c r="I47">
        <v>0</v>
      </c>
      <c r="J47" t="s">
        <v>53</v>
      </c>
      <c r="K47">
        <f>((parameters!$B$3/2)/inputs_df!E47)+((parameters!$B$3/2)/inputs_df!F47)</f>
        <v>11.721841703560575</v>
      </c>
      <c r="L47">
        <f t="shared" si="0"/>
        <v>22052.642758196529</v>
      </c>
    </row>
    <row r="48" spans="1:12" x14ac:dyDescent="0.3">
      <c r="A48">
        <v>47</v>
      </c>
      <c r="B48">
        <v>3250</v>
      </c>
      <c r="C48">
        <v>2750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 t="s">
        <v>10</v>
      </c>
      <c r="K48">
        <v>0</v>
      </c>
      <c r="L48">
        <f t="shared" si="0"/>
        <v>0</v>
      </c>
    </row>
    <row r="49" spans="1:12" x14ac:dyDescent="0.3">
      <c r="A49">
        <v>48</v>
      </c>
      <c r="B49">
        <v>3750</v>
      </c>
      <c r="C49">
        <v>2750</v>
      </c>
      <c r="D49">
        <v>56.673304999999999</v>
      </c>
      <c r="E49">
        <v>59.507626000000002</v>
      </c>
      <c r="F49">
        <v>41.655338</v>
      </c>
      <c r="G49">
        <v>6.7449876922999996</v>
      </c>
      <c r="H49">
        <v>2161.435978</v>
      </c>
      <c r="I49">
        <v>0</v>
      </c>
      <c r="J49" t="s">
        <v>54</v>
      </c>
      <c r="K49">
        <f>((parameters!$B$3/2)/inputs_df!E49)+((parameters!$B$3/2)/inputs_df!F49)</f>
        <v>10.202773991649558</v>
      </c>
      <c r="L49">
        <f t="shared" si="0"/>
        <v>22052.642780954026</v>
      </c>
    </row>
    <row r="50" spans="1:12" x14ac:dyDescent="0.3">
      <c r="A50">
        <v>49</v>
      </c>
      <c r="B50">
        <v>250</v>
      </c>
      <c r="C50">
        <v>3250</v>
      </c>
      <c r="D50">
        <v>54.400314000000002</v>
      </c>
      <c r="E50">
        <v>27.193695000000002</v>
      </c>
      <c r="F50">
        <v>19.035585999999999</v>
      </c>
      <c r="G50">
        <v>2.9586910568999998</v>
      </c>
      <c r="H50">
        <v>987.729378</v>
      </c>
      <c r="I50">
        <v>0</v>
      </c>
      <c r="J50" t="s">
        <v>55</v>
      </c>
      <c r="K50">
        <f>((parameters!$B$3/2)/inputs_df!E50)+((parameters!$B$3/2)/inputs_df!F50)</f>
        <v>22.326604256015351</v>
      </c>
      <c r="L50">
        <f t="shared" si="0"/>
        <v>22052.642934646195</v>
      </c>
    </row>
    <row r="51" spans="1:12" x14ac:dyDescent="0.3">
      <c r="A51">
        <v>50</v>
      </c>
      <c r="B51">
        <v>750</v>
      </c>
      <c r="C51">
        <v>3250</v>
      </c>
      <c r="D51">
        <v>75.298570999999995</v>
      </c>
      <c r="E51">
        <v>31.863025</v>
      </c>
      <c r="F51">
        <v>22.304117000000002</v>
      </c>
      <c r="G51">
        <v>4.7984804936999996</v>
      </c>
      <c r="H51">
        <v>1157.328788</v>
      </c>
      <c r="I51">
        <v>1</v>
      </c>
      <c r="J51" t="s">
        <v>56</v>
      </c>
      <c r="K51">
        <f>((parameters!$B$3/2)/inputs_df!E51)+((parameters!$B$3/2)/inputs_df!F51)</f>
        <v>19.054777917321609</v>
      </c>
      <c r="L51">
        <f t="shared" si="0"/>
        <v>22052.643032662982</v>
      </c>
    </row>
    <row r="52" spans="1:12" x14ac:dyDescent="0.3">
      <c r="A52">
        <v>51</v>
      </c>
      <c r="B52">
        <v>1250</v>
      </c>
      <c r="C52">
        <v>3250</v>
      </c>
      <c r="D52">
        <v>94.039968000000002</v>
      </c>
      <c r="E52">
        <v>38.597749999999998</v>
      </c>
      <c r="F52">
        <v>27.018425000000001</v>
      </c>
      <c r="G52">
        <v>7.2594623791000004</v>
      </c>
      <c r="H52">
        <v>1401.9474749999999</v>
      </c>
      <c r="I52">
        <v>0</v>
      </c>
      <c r="J52" t="s">
        <v>57</v>
      </c>
      <c r="K52">
        <f>((parameters!$B$3/2)/inputs_df!E52)+((parameters!$B$3/2)/inputs_df!F52)</f>
        <v>15.730006467808543</v>
      </c>
      <c r="L52">
        <f t="shared" si="0"/>
        <v>22052.642849277854</v>
      </c>
    </row>
    <row r="53" spans="1:12" x14ac:dyDescent="0.3">
      <c r="A53">
        <v>52</v>
      </c>
      <c r="B53">
        <v>1750</v>
      </c>
      <c r="C53">
        <v>3250</v>
      </c>
      <c r="D53">
        <v>100</v>
      </c>
      <c r="E53">
        <v>46.441104000000003</v>
      </c>
      <c r="F53">
        <v>32.508772999999998</v>
      </c>
      <c r="G53">
        <v>9.2882208452999997</v>
      </c>
      <c r="H53">
        <v>1686.8337879999999</v>
      </c>
      <c r="I53">
        <v>0</v>
      </c>
      <c r="J53" t="s">
        <v>58</v>
      </c>
      <c r="K53">
        <f>((parameters!$B$3/2)/inputs_df!E53)+((parameters!$B$3/2)/inputs_df!F53)</f>
        <v>13.073394098160286</v>
      </c>
      <c r="L53">
        <f t="shared" si="0"/>
        <v>22052.642888616556</v>
      </c>
    </row>
    <row r="54" spans="1:12" x14ac:dyDescent="0.3">
      <c r="A54">
        <v>53</v>
      </c>
      <c r="B54">
        <v>2250</v>
      </c>
      <c r="C54">
        <v>3250</v>
      </c>
      <c r="D54">
        <v>96.833798999999999</v>
      </c>
      <c r="E54">
        <v>53.386769999999999</v>
      </c>
      <c r="F54">
        <v>37.370739</v>
      </c>
      <c r="G54">
        <v>10.339287408300001</v>
      </c>
      <c r="H54">
        <v>1939.114245</v>
      </c>
      <c r="I54">
        <v>0</v>
      </c>
      <c r="J54" t="s">
        <v>59</v>
      </c>
      <c r="K54">
        <f>((parameters!$B$3/2)/inputs_df!E54)+((parameters!$B$3/2)/inputs_df!F54)</f>
        <v>11.3725340031408</v>
      </c>
      <c r="L54">
        <f t="shared" si="0"/>
        <v>22052.642687237199</v>
      </c>
    </row>
    <row r="55" spans="1:12" x14ac:dyDescent="0.3">
      <c r="A55">
        <v>54</v>
      </c>
      <c r="B55">
        <v>2750</v>
      </c>
      <c r="C55">
        <v>3250</v>
      </c>
      <c r="D55">
        <v>86.059138000000004</v>
      </c>
      <c r="E55">
        <v>56.251474999999999</v>
      </c>
      <c r="F55">
        <v>39.376033</v>
      </c>
      <c r="G55">
        <v>9.6819069789000007</v>
      </c>
      <c r="H55">
        <v>2043.1660830000001</v>
      </c>
      <c r="I55">
        <v>0</v>
      </c>
      <c r="J55" t="s">
        <v>60</v>
      </c>
      <c r="K55">
        <f>((parameters!$B$3/2)/inputs_df!E55)+((parameters!$B$3/2)/inputs_df!F55)</f>
        <v>10.793367686942052</v>
      </c>
      <c r="L55">
        <f t="shared" si="0"/>
        <v>22052.642779308164</v>
      </c>
    </row>
    <row r="56" spans="1:12" x14ac:dyDescent="0.3">
      <c r="A56">
        <v>55</v>
      </c>
      <c r="B56">
        <v>3250</v>
      </c>
      <c r="C56">
        <v>3250</v>
      </c>
      <c r="D56">
        <v>70.551837000000006</v>
      </c>
      <c r="E56">
        <v>54.779767</v>
      </c>
      <c r="F56">
        <v>38.345837000000003</v>
      </c>
      <c r="G56">
        <v>7.7296264105999999</v>
      </c>
      <c r="H56">
        <v>1989.7106940000001</v>
      </c>
      <c r="I56">
        <v>1</v>
      </c>
      <c r="J56" t="s">
        <v>61</v>
      </c>
      <c r="K56">
        <f>((parameters!$B$3/2)/inputs_df!E56)+((parameters!$B$3/2)/inputs_df!F56)</f>
        <v>11.083341340453016</v>
      </c>
      <c r="L56">
        <f t="shared" si="0"/>
        <v>22052.642790351663</v>
      </c>
    </row>
    <row r="57" spans="1:12" x14ac:dyDescent="0.3">
      <c r="A57">
        <v>56</v>
      </c>
      <c r="B57">
        <v>3750</v>
      </c>
      <c r="C57">
        <v>3250</v>
      </c>
      <c r="D57">
        <v>59.319507000000002</v>
      </c>
      <c r="E57">
        <v>52.156128000000002</v>
      </c>
      <c r="F57">
        <v>36.509289000000003</v>
      </c>
      <c r="G57">
        <v>6.1877515113000001</v>
      </c>
      <c r="H57">
        <v>1894.414869</v>
      </c>
      <c r="I57">
        <v>0</v>
      </c>
      <c r="J57" t="s">
        <v>62</v>
      </c>
      <c r="K57">
        <f>((parameters!$B$3/2)/inputs_df!E57)+((parameters!$B$3/2)/inputs_df!F57)</f>
        <v>11.640873015194012</v>
      </c>
      <c r="L57">
        <f t="shared" si="0"/>
        <v>22052.642928124398</v>
      </c>
    </row>
    <row r="58" spans="1:12" x14ac:dyDescent="0.3">
      <c r="A58">
        <v>57</v>
      </c>
      <c r="B58">
        <v>250</v>
      </c>
      <c r="C58">
        <v>3750</v>
      </c>
      <c r="D58">
        <v>60.319485</v>
      </c>
      <c r="E58">
        <v>23.860814000000001</v>
      </c>
      <c r="F58">
        <v>16.702570000000001</v>
      </c>
      <c r="G58">
        <v>2.8785440598999998</v>
      </c>
      <c r="H58">
        <v>866.67249200000003</v>
      </c>
      <c r="I58">
        <v>0</v>
      </c>
      <c r="J58" t="s">
        <v>63</v>
      </c>
      <c r="K58">
        <f>((parameters!$B$3/2)/inputs_df!E58)+((parameters!$B$3/2)/inputs_df!F58)</f>
        <v>25.445186105819996</v>
      </c>
      <c r="L58">
        <f t="shared" si="0"/>
        <v>22052.642851734792</v>
      </c>
    </row>
    <row r="59" spans="1:12" x14ac:dyDescent="0.3">
      <c r="A59">
        <v>58</v>
      </c>
      <c r="B59">
        <v>750</v>
      </c>
      <c r="C59">
        <v>3750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 t="s">
        <v>10</v>
      </c>
      <c r="K59">
        <v>0</v>
      </c>
      <c r="L59">
        <f t="shared" si="0"/>
        <v>0</v>
      </c>
    </row>
    <row r="60" spans="1:12" x14ac:dyDescent="0.3">
      <c r="A60">
        <v>59</v>
      </c>
      <c r="B60">
        <v>1250</v>
      </c>
      <c r="C60">
        <v>3750</v>
      </c>
      <c r="D60">
        <v>94.306444999999997</v>
      </c>
      <c r="E60">
        <v>40.000779000000001</v>
      </c>
      <c r="F60">
        <v>28.000544999999999</v>
      </c>
      <c r="G60">
        <v>7.5446624778000002</v>
      </c>
      <c r="H60">
        <v>1452.9082820000001</v>
      </c>
      <c r="I60">
        <v>0</v>
      </c>
      <c r="J60" t="s">
        <v>64</v>
      </c>
      <c r="K60">
        <f>((parameters!$B$3/2)/inputs_df!E60)+((parameters!$B$3/2)/inputs_df!F60)</f>
        <v>15.178275927309148</v>
      </c>
      <c r="L60">
        <f t="shared" si="0"/>
        <v>22052.642801268692</v>
      </c>
    </row>
    <row r="61" spans="1:12" x14ac:dyDescent="0.3">
      <c r="A61">
        <v>60</v>
      </c>
      <c r="B61">
        <v>1750</v>
      </c>
      <c r="C61">
        <v>3750</v>
      </c>
      <c r="D61">
        <v>99.308476999999996</v>
      </c>
      <c r="E61">
        <v>50.915481999999997</v>
      </c>
      <c r="F61">
        <v>35.640836999999998</v>
      </c>
      <c r="G61">
        <v>10.112677937500001</v>
      </c>
      <c r="H61">
        <v>1849.3521310000001</v>
      </c>
      <c r="I61">
        <v>0</v>
      </c>
      <c r="J61" t="s">
        <v>65</v>
      </c>
      <c r="K61">
        <f>((parameters!$B$3/2)/inputs_df!E61)+((parameters!$B$3/2)/inputs_df!F61)</f>
        <v>11.924523490735105</v>
      </c>
      <c r="L61">
        <f t="shared" si="0"/>
        <v>22052.642928750527</v>
      </c>
    </row>
    <row r="62" spans="1:12" x14ac:dyDescent="0.3">
      <c r="A62">
        <v>61</v>
      </c>
      <c r="B62">
        <v>2250</v>
      </c>
      <c r="C62">
        <v>3750</v>
      </c>
      <c r="D62">
        <v>96.594352999999998</v>
      </c>
      <c r="E62">
        <v>58.479581000000003</v>
      </c>
      <c r="F62">
        <v>40.935707000000001</v>
      </c>
      <c r="G62">
        <v>11.2975945826</v>
      </c>
      <c r="H62">
        <v>2124.0953380000001</v>
      </c>
      <c r="I62">
        <v>0</v>
      </c>
      <c r="J62" t="s">
        <v>66</v>
      </c>
      <c r="K62">
        <f>((parameters!$B$3/2)/inputs_df!E62)+((parameters!$B$3/2)/inputs_df!F62)</f>
        <v>10.38213414226604</v>
      </c>
      <c r="L62">
        <f t="shared" si="0"/>
        <v>22052.642730077925</v>
      </c>
    </row>
    <row r="63" spans="1:12" x14ac:dyDescent="0.3">
      <c r="A63">
        <v>62</v>
      </c>
      <c r="B63">
        <v>2750</v>
      </c>
      <c r="C63">
        <v>3750</v>
      </c>
      <c r="D63">
        <v>84.926344</v>
      </c>
      <c r="E63">
        <v>58.263593</v>
      </c>
      <c r="F63">
        <v>40.784514999999999</v>
      </c>
      <c r="G63">
        <v>9.8962278519000009</v>
      </c>
      <c r="H63">
        <v>2116.2502100000002</v>
      </c>
      <c r="I63">
        <v>0</v>
      </c>
      <c r="J63" t="s">
        <v>67</v>
      </c>
      <c r="K63">
        <f>((parameters!$B$3/2)/inputs_df!E63)+((parameters!$B$3/2)/inputs_df!F63)</f>
        <v>10.420621639632483</v>
      </c>
      <c r="L63">
        <f t="shared" si="0"/>
        <v>22052.642733202789</v>
      </c>
    </row>
    <row r="64" spans="1:12" x14ac:dyDescent="0.3">
      <c r="A64">
        <v>63</v>
      </c>
      <c r="B64">
        <v>3250</v>
      </c>
      <c r="C64">
        <v>3750</v>
      </c>
      <c r="D64">
        <v>66.739615999999998</v>
      </c>
      <c r="E64">
        <v>51.680999</v>
      </c>
      <c r="F64">
        <v>36.176699999999997</v>
      </c>
      <c r="G64">
        <v>6.8983400813999998</v>
      </c>
      <c r="H64">
        <v>1877.15726</v>
      </c>
      <c r="I64">
        <v>0</v>
      </c>
      <c r="J64" t="s">
        <v>68</v>
      </c>
      <c r="K64">
        <f>((parameters!$B$3/2)/inputs_df!E64)+((parameters!$B$3/2)/inputs_df!F64)</f>
        <v>11.747893074441766</v>
      </c>
      <c r="L64">
        <f t="shared" si="0"/>
        <v>22052.642774392079</v>
      </c>
    </row>
    <row r="65" spans="1:12" x14ac:dyDescent="0.3">
      <c r="A65">
        <v>64</v>
      </c>
      <c r="B65">
        <v>3750</v>
      </c>
      <c r="C65">
        <v>3750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 t="s">
        <v>10</v>
      </c>
      <c r="K65">
        <v>0</v>
      </c>
      <c r="L65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H6" sqref="H6"/>
    </sheetView>
  </sheetViews>
  <sheetFormatPr defaultRowHeight="14.4" x14ac:dyDescent="0.3"/>
  <sheetData>
    <row r="1" spans="1:6" x14ac:dyDescent="0.3">
      <c r="A1" s="1" t="s">
        <v>69</v>
      </c>
      <c r="B1" s="1" t="s">
        <v>1</v>
      </c>
      <c r="C1" s="1" t="s">
        <v>2</v>
      </c>
      <c r="D1" s="1" t="s">
        <v>70</v>
      </c>
      <c r="E1" s="1" t="s">
        <v>71</v>
      </c>
      <c r="F1" s="1" t="s">
        <v>72</v>
      </c>
    </row>
    <row r="2" spans="1:6" x14ac:dyDescent="0.3">
      <c r="A2" t="s">
        <v>73</v>
      </c>
      <c r="B2">
        <v>5</v>
      </c>
      <c r="C2">
        <v>0</v>
      </c>
      <c r="D2">
        <v>35</v>
      </c>
      <c r="E2">
        <v>0</v>
      </c>
      <c r="F2">
        <v>0</v>
      </c>
    </row>
    <row r="3" spans="1:6" x14ac:dyDescent="0.3">
      <c r="A3" t="s">
        <v>74</v>
      </c>
      <c r="B3">
        <v>4</v>
      </c>
      <c r="C3">
        <v>1</v>
      </c>
      <c r="D3">
        <v>0</v>
      </c>
      <c r="E3">
        <v>35</v>
      </c>
      <c r="F3">
        <v>35</v>
      </c>
    </row>
    <row r="4" spans="1:6" x14ac:dyDescent="0.3">
      <c r="A4" t="s">
        <v>75</v>
      </c>
      <c r="B4">
        <v>4</v>
      </c>
      <c r="C4">
        <v>3</v>
      </c>
      <c r="D4">
        <v>0</v>
      </c>
      <c r="E4">
        <v>35</v>
      </c>
      <c r="F4">
        <v>35</v>
      </c>
    </row>
    <row r="5" spans="1:6" x14ac:dyDescent="0.3">
      <c r="A5" t="s">
        <v>76</v>
      </c>
      <c r="B5">
        <v>1</v>
      </c>
      <c r="C5">
        <v>4</v>
      </c>
      <c r="D5">
        <v>0</v>
      </c>
      <c r="E5">
        <v>35</v>
      </c>
      <c r="F5">
        <v>35</v>
      </c>
    </row>
    <row r="6" spans="1:6" x14ac:dyDescent="0.3">
      <c r="A6" t="s">
        <v>77</v>
      </c>
      <c r="B6">
        <v>4</v>
      </c>
      <c r="C6">
        <v>5</v>
      </c>
      <c r="D6">
        <v>0</v>
      </c>
      <c r="E6">
        <v>35</v>
      </c>
      <c r="F6">
        <v>35</v>
      </c>
    </row>
    <row r="7" spans="1:6" x14ac:dyDescent="0.3">
      <c r="A7" t="s">
        <v>78</v>
      </c>
      <c r="B7">
        <v>7</v>
      </c>
      <c r="C7">
        <v>5</v>
      </c>
      <c r="D7">
        <v>0</v>
      </c>
      <c r="E7">
        <v>35</v>
      </c>
      <c r="F7">
        <v>35</v>
      </c>
    </row>
    <row r="8" spans="1:6" x14ac:dyDescent="0.3">
      <c r="A8" t="s">
        <v>79</v>
      </c>
      <c r="B8">
        <v>1</v>
      </c>
      <c r="C8">
        <v>6</v>
      </c>
      <c r="D8">
        <v>0</v>
      </c>
      <c r="E8">
        <v>35</v>
      </c>
      <c r="F8">
        <v>35</v>
      </c>
    </row>
    <row r="9" spans="1:6" x14ac:dyDescent="0.3">
      <c r="A9" t="s">
        <v>80</v>
      </c>
      <c r="B9">
        <v>6</v>
      </c>
      <c r="C9">
        <v>6</v>
      </c>
      <c r="D9">
        <v>0</v>
      </c>
      <c r="E9">
        <v>35</v>
      </c>
      <c r="F9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7" sqref="B17"/>
    </sheetView>
  </sheetViews>
  <sheetFormatPr defaultRowHeight="14.4" x14ac:dyDescent="0.3"/>
  <sheetData>
    <row r="1" spans="1:3" x14ac:dyDescent="0.3">
      <c r="A1" s="1" t="s">
        <v>81</v>
      </c>
      <c r="B1" s="1" t="s">
        <v>82</v>
      </c>
      <c r="C1" s="1" t="s">
        <v>83</v>
      </c>
    </row>
    <row r="2" spans="1:3" x14ac:dyDescent="0.3">
      <c r="A2" t="s">
        <v>84</v>
      </c>
      <c r="B2">
        <v>64</v>
      </c>
      <c r="C2" t="s">
        <v>85</v>
      </c>
    </row>
    <row r="3" spans="1:3" x14ac:dyDescent="0.3">
      <c r="A3" t="s">
        <v>86</v>
      </c>
      <c r="B3">
        <v>500</v>
      </c>
      <c r="C3" t="s">
        <v>87</v>
      </c>
    </row>
    <row r="4" spans="1:3" x14ac:dyDescent="0.3">
      <c r="A4" t="s">
        <v>88</v>
      </c>
      <c r="B4">
        <v>4000</v>
      </c>
      <c r="C4" t="s">
        <v>89</v>
      </c>
    </row>
    <row r="5" spans="1:3" x14ac:dyDescent="0.3">
      <c r="A5" t="s">
        <v>90</v>
      </c>
      <c r="B5">
        <v>250000</v>
      </c>
      <c r="C5" t="s">
        <v>91</v>
      </c>
    </row>
    <row r="6" spans="1:3" x14ac:dyDescent="0.3">
      <c r="A6" t="s">
        <v>92</v>
      </c>
      <c r="B6">
        <v>24</v>
      </c>
      <c r="C6" t="s">
        <v>93</v>
      </c>
    </row>
    <row r="7" spans="1:3" x14ac:dyDescent="0.3">
      <c r="A7" t="s">
        <v>94</v>
      </c>
      <c r="B7">
        <v>36322</v>
      </c>
      <c r="C7" t="s">
        <v>95</v>
      </c>
    </row>
    <row r="8" spans="1:3" x14ac:dyDescent="0.3">
      <c r="A8" t="s">
        <v>96</v>
      </c>
      <c r="B8">
        <v>3.6322E-2</v>
      </c>
      <c r="C8" t="s">
        <v>97</v>
      </c>
    </row>
    <row r="9" spans="1:3" x14ac:dyDescent="0.3">
      <c r="A9" t="s">
        <v>98</v>
      </c>
      <c r="B9">
        <v>9080.5</v>
      </c>
      <c r="C9" t="s">
        <v>97</v>
      </c>
    </row>
    <row r="10" spans="1:3" x14ac:dyDescent="0.3">
      <c r="A10" t="s">
        <v>99</v>
      </c>
      <c r="B10" t="s">
        <v>100</v>
      </c>
      <c r="C10" t="s">
        <v>101</v>
      </c>
    </row>
    <row r="11" spans="1:3" x14ac:dyDescent="0.3">
      <c r="A11" t="s">
        <v>102</v>
      </c>
      <c r="B11">
        <v>166.67</v>
      </c>
    </row>
    <row r="12" spans="1:3" x14ac:dyDescent="0.3">
      <c r="A12" t="s">
        <v>103</v>
      </c>
      <c r="B12">
        <v>2000</v>
      </c>
    </row>
    <row r="13" spans="1:3" x14ac:dyDescent="0.3">
      <c r="A13" t="s">
        <v>104</v>
      </c>
      <c r="B13">
        <v>117.65</v>
      </c>
    </row>
    <row r="14" spans="1:3" x14ac:dyDescent="0.3">
      <c r="A14" t="s">
        <v>105</v>
      </c>
      <c r="B14">
        <v>500</v>
      </c>
    </row>
    <row r="15" spans="1:3" x14ac:dyDescent="0.3">
      <c r="A15" t="s">
        <v>106</v>
      </c>
      <c r="B15">
        <v>15</v>
      </c>
    </row>
    <row r="16" spans="1:3" x14ac:dyDescent="0.3">
      <c r="A16" t="s">
        <v>107</v>
      </c>
      <c r="B16">
        <v>1000</v>
      </c>
    </row>
    <row r="17" spans="1:2" x14ac:dyDescent="0.3">
      <c r="A17" t="s">
        <v>110</v>
      </c>
      <c r="B17">
        <f>406.0337+MAX(inputs_df!K2:K65)</f>
        <v>435.37844901608781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2026-02-25T07:07:53Z</dcterms:created>
  <dcterms:modified xsi:type="dcterms:W3CDTF">2026-04-18T17:42:39Z</dcterms:modified>
</cp:coreProperties>
</file>
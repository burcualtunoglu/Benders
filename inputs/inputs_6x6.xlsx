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4BA39DE0-2099-49AC-A01F-07C66085B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4" i="1"/>
  <c r="L27" i="1"/>
  <c r="L28" i="1"/>
  <c r="L29" i="1"/>
  <c r="L30" i="1"/>
  <c r="L31" i="1"/>
  <c r="L32" i="1"/>
  <c r="L33" i="1"/>
  <c r="L34" i="1"/>
  <c r="L35" i="1"/>
  <c r="L36" i="1"/>
  <c r="L37" i="1"/>
  <c r="K27" i="1"/>
  <c r="K29" i="1"/>
  <c r="K30" i="1"/>
  <c r="K31" i="1"/>
  <c r="K32" i="1"/>
  <c r="K33" i="1"/>
  <c r="K34" i="1"/>
  <c r="K35" i="1"/>
  <c r="K36" i="1"/>
  <c r="L4" i="1"/>
  <c r="K5" i="1"/>
  <c r="K6" i="1"/>
  <c r="K7" i="1"/>
  <c r="K8" i="1"/>
  <c r="K9" i="1"/>
  <c r="K10" i="1"/>
  <c r="L10" i="1" s="1"/>
  <c r="K11" i="1"/>
  <c r="L11" i="1" s="1"/>
  <c r="K12" i="1"/>
  <c r="L12" i="1" s="1"/>
  <c r="L13" i="1"/>
  <c r="K14" i="1"/>
  <c r="L14" i="1" s="1"/>
  <c r="K15" i="1"/>
  <c r="L15" i="1" s="1"/>
  <c r="K16" i="1"/>
  <c r="K17" i="1"/>
  <c r="K18" i="1"/>
  <c r="K19" i="1"/>
  <c r="K20" i="1"/>
  <c r="K21" i="1"/>
  <c r="K22" i="1"/>
  <c r="L22" i="1" s="1"/>
  <c r="K23" i="1"/>
  <c r="L23" i="1" s="1"/>
  <c r="K24" i="1"/>
  <c r="L24" i="1" s="1"/>
  <c r="K25" i="1"/>
  <c r="L25" i="1" s="1"/>
  <c r="K26" i="1"/>
  <c r="L26" i="1" s="1"/>
  <c r="L3" i="1"/>
  <c r="L21" i="1"/>
  <c r="L20" i="1"/>
  <c r="L19" i="1"/>
  <c r="L18" i="1"/>
  <c r="L17" i="1"/>
  <c r="L16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<sst xmlns="http://schemas.openxmlformats.org/spreadsheetml/2006/main" count="91" uniqueCount="84">
  <si>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</si>
  <si>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</si>
  <si>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</si>
  <si>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</si>
  <si>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</si>
  <si>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</si>
  <si>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</si>
  <si>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</si>
  <si>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</si>
  <si>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</si>
  <si>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</si>
  <si>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[9, 4]</t>
  </si>
  <si>
    <t>[10, 3, 5]</t>
  </si>
  <si>
    <t>[11, 4, 6]</t>
  </si>
  <si>
    <t>[5]</t>
  </si>
  <si>
    <t>[13, 8]</t>
  </si>
  <si>
    <t>[14, 7, 9]</t>
  </si>
  <si>
    <t>[3, 15, 8, 10]</t>
  </si>
  <si>
    <t>[4, 16, 9, 11]</t>
  </si>
  <si>
    <t>[5, 17, 10]</t>
  </si>
  <si>
    <t>[7, 19, 14]</t>
  </si>
  <si>
    <t>[8, 20, 13, 15]</t>
  </si>
  <si>
    <t>[9, 21, 14, 16]</t>
  </si>
  <si>
    <t>[10, 22, 15, 17]</t>
  </si>
  <si>
    <t>[11, 16, 18]</t>
  </si>
  <si>
    <t>[24, 17]</t>
  </si>
  <si>
    <t>[13, 25, 20]</t>
  </si>
  <si>
    <t>[14, 26, 19, 21]</t>
  </si>
  <si>
    <t>[15, 20, 22]</t>
  </si>
  <si>
    <t>[16, 28, 21, 23]</t>
  </si>
  <si>
    <t>[29, 22]</t>
  </si>
  <si>
    <t>[18, 30]</t>
  </si>
  <si>
    <t>[19, 31, 26]</t>
  </si>
  <si>
    <t>[20, 32, 25]</t>
  </si>
  <si>
    <t>[22, 34]</t>
  </si>
  <si>
    <t>[23, 35]</t>
  </si>
  <si>
    <t>[24]</t>
  </si>
  <si>
    <t>[25]</t>
  </si>
  <si>
    <t>[26]</t>
  </si>
  <si>
    <t>[34]</t>
  </si>
  <si>
    <t>[28, 33, 35]</t>
  </si>
  <si>
    <t>[29, 34]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</si>
  <si>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</si>
  <si>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</si>
  <si>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</si>
  <si>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</si>
  <si>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</si>
  <si>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</si>
  <si>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</si>
  <si>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</si>
  <si>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</si>
  <si>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</si>
  <si>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</si>
  <si>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</si>
  <si>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</si>
  <si>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</si>
  <si>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</si>
  <si>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</si>
  <si>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</si>
  <si>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</si>
  <si>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</si>
  <si>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</si>
  <si>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</si>
  <si>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</si>
  <si>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</si>
  <si>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</si>
  <si>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</si>
  <si>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</si>
  <si>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</si>
  <si>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</si>
  <si>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</si>
  <si>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</si>
  <si>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</si>
  <si>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28-29;17-23;23-24;31-32;32-33;29-30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</si>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</sst>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19" workbookViewId="0">
      <selection activeCell="Q27" sqref="Q27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81</v>
      </c>
      <c r="L1" s="2" t="s">
        <v>82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 t="s">
        <v>10</v>
      </c>
      <c r="K3">
        <v>0</v>
      </c>
      <c r="L3">
        <f>H3*K3</f>
        <v>0</v>
      </c>
    </row>
    <row r="4" spans="1:12" x14ac:dyDescent="0.3">
      <c r="A4">
        <v>3</v>
      </c>
      <c r="B4">
        <v>1250</v>
      </c>
      <c r="C4">
        <v>250</v>
      </c>
      <c r="D4">
        <v>99.566799000000003</v>
      </c>
      <c r="E4">
        <v>32.735863999999999</v>
      </c>
      <c r="F4">
        <v>22.915105000000001</v>
      </c>
      <c r="G4">
        <v>6.5188104375</v>
      </c>
      <c r="H4">
        <v>1189.032066</v>
      </c>
      <c r="I4">
        <v>0</v>
      </c>
      <c r="J4" t="s">
        <v>11</v>
      </c>
      <c r="K4">
        <f>((parameters!$B$3/2)/inputs_df!E4)+((parameters!$B$3/2)/inputs_df!F4)</f>
        <v>18.546718486665316</v>
      </c>
      <c r="L4">
        <f>H4*K4</f>
        <v>22052.642999720054</v>
      </c>
    </row>
    <row r="5" spans="1:12" x14ac:dyDescent="0.3">
      <c r="A5">
        <v>4</v>
      </c>
      <c r="B5">
        <v>1750</v>
      </c>
      <c r="C5">
        <v>250</v>
      </c>
      <c r="D5">
        <v>88.109830000000002</v>
      </c>
      <c r="E5">
        <v>25.75901</v>
      </c>
      <c r="F5">
        <v>18.031307000000002</v>
      </c>
      <c r="G5">
        <v>4.5392439686000001</v>
      </c>
      <c r="H5">
        <v>935.61875899999995</v>
      </c>
      <c r="I5">
        <v>1</v>
      </c>
      <c r="J5" t="s">
        <v>12</v>
      </c>
      <c r="K5">
        <f>((parameters!$B$3/2)/inputs_df!E5)+((parameters!$B$3/2)/inputs_df!F5)</f>
        <v>23.570116131903248</v>
      </c>
      <c r="L5">
        <f t="shared" ref="L5:L37" si="0">H5*K5</f>
        <v>22052.642804817195</v>
      </c>
    </row>
    <row r="6" spans="1:12" x14ac:dyDescent="0.3">
      <c r="A6">
        <v>5</v>
      </c>
      <c r="B6">
        <v>2250</v>
      </c>
      <c r="C6">
        <v>250</v>
      </c>
      <c r="D6">
        <v>65.753303000000002</v>
      </c>
      <c r="E6">
        <v>22.239930999999999</v>
      </c>
      <c r="F6">
        <v>15.567952</v>
      </c>
      <c r="G6">
        <v>2.9246978005000002</v>
      </c>
      <c r="H6">
        <v>807.798766</v>
      </c>
      <c r="I6">
        <v>0</v>
      </c>
      <c r="J6" t="s">
        <v>13</v>
      </c>
      <c r="K6">
        <f>((parameters!$B$3/2)/inputs_df!E6)+((parameters!$B$3/2)/inputs_df!F6)</f>
        <v>27.299673288581097</v>
      </c>
      <c r="L6">
        <f t="shared" si="0"/>
        <v>22052.642394718972</v>
      </c>
    </row>
    <row r="7" spans="1:12" x14ac:dyDescent="0.3">
      <c r="A7">
        <v>6</v>
      </c>
      <c r="B7">
        <v>2750</v>
      </c>
      <c r="C7">
        <v>250</v>
      </c>
      <c r="D7">
        <v>46.157702</v>
      </c>
      <c r="E7">
        <v>20.69</v>
      </c>
      <c r="F7">
        <v>14.483000000000001</v>
      </c>
      <c r="G7">
        <v>1.9100056956</v>
      </c>
      <c r="H7">
        <v>751.50217999999995</v>
      </c>
      <c r="I7">
        <v>0</v>
      </c>
      <c r="J7" t="s">
        <v>14</v>
      </c>
      <c r="K7">
        <f>((parameters!$B$3/2)/inputs_df!E7)+((parameters!$B$3/2)/inputs_df!F7)</f>
        <v>29.344749016087825</v>
      </c>
      <c r="L7">
        <f t="shared" si="0"/>
        <v>22052.642857142855</v>
      </c>
    </row>
    <row r="8" spans="1:12" x14ac:dyDescent="0.3">
      <c r="A8">
        <v>7</v>
      </c>
      <c r="B8">
        <v>250</v>
      </c>
      <c r="C8">
        <v>750</v>
      </c>
      <c r="D8">
        <v>87.859046000000006</v>
      </c>
      <c r="E8">
        <v>47.728704999999998</v>
      </c>
      <c r="F8">
        <v>33.410094000000001</v>
      </c>
      <c r="G8">
        <v>8.3867970036999999</v>
      </c>
      <c r="H8">
        <v>1733.602036</v>
      </c>
      <c r="I8">
        <v>0</v>
      </c>
      <c r="J8" t="s">
        <v>15</v>
      </c>
      <c r="K8">
        <f>((parameters!$B$3/2)/inputs_df!E8)+((parameters!$B$3/2)/inputs_df!F8)</f>
        <v>12.720706581040119</v>
      </c>
      <c r="L8">
        <f t="shared" si="0"/>
        <v>22052.642828249751</v>
      </c>
    </row>
    <row r="9" spans="1:12" x14ac:dyDescent="0.3">
      <c r="A9">
        <v>8</v>
      </c>
      <c r="B9">
        <v>750</v>
      </c>
      <c r="C9">
        <v>750</v>
      </c>
      <c r="D9">
        <v>88.634468999999996</v>
      </c>
      <c r="E9">
        <v>43.215184000000001</v>
      </c>
      <c r="F9">
        <v>30.250629</v>
      </c>
      <c r="G9">
        <v>7.6607097301999998</v>
      </c>
      <c r="H9">
        <v>1569.6619049999999</v>
      </c>
      <c r="I9">
        <v>0</v>
      </c>
      <c r="J9" t="s">
        <v>16</v>
      </c>
      <c r="K9">
        <f>((parameters!$B$3/2)/inputs_df!E9)+((parameters!$B$3/2)/inputs_df!F9)</f>
        <v>14.049294682665963</v>
      </c>
      <c r="L9">
        <f t="shared" si="0"/>
        <v>22052.642655499825</v>
      </c>
    </row>
    <row r="10" spans="1:12" x14ac:dyDescent="0.3">
      <c r="A10">
        <v>9</v>
      </c>
      <c r="B10">
        <v>1250</v>
      </c>
      <c r="C10">
        <v>750</v>
      </c>
      <c r="D10">
        <v>85.861148</v>
      </c>
      <c r="E10">
        <v>37.045257999999997</v>
      </c>
      <c r="F10">
        <v>25.931681000000001</v>
      </c>
      <c r="G10">
        <v>6.3614968594999999</v>
      </c>
      <c r="H10">
        <v>1345.5578760000001</v>
      </c>
      <c r="I10">
        <v>0</v>
      </c>
      <c r="J10" t="s">
        <v>17</v>
      </c>
      <c r="K10">
        <f>((parameters!$B$3/2)/inputs_df!E10)+((parameters!$B$3/2)/inputs_df!F10)</f>
        <v>16.389219144697979</v>
      </c>
      <c r="L10">
        <f t="shared" si="0"/>
        <v>22052.642901638352</v>
      </c>
    </row>
    <row r="11" spans="1:12" x14ac:dyDescent="0.3">
      <c r="A11">
        <v>10</v>
      </c>
      <c r="B11">
        <v>1750</v>
      </c>
      <c r="C11">
        <v>750</v>
      </c>
      <c r="D11">
        <v>73.346220000000002</v>
      </c>
      <c r="E11">
        <v>33.204579000000003</v>
      </c>
      <c r="F11">
        <v>23.243205</v>
      </c>
      <c r="G11">
        <v>4.8708606768999996</v>
      </c>
      <c r="H11">
        <v>1206.0567140000001</v>
      </c>
      <c r="I11">
        <v>0</v>
      </c>
      <c r="J11" t="s">
        <v>18</v>
      </c>
      <c r="K11">
        <f>((parameters!$B$3/2)/inputs_df!E11)+((parameters!$B$3/2)/inputs_df!F11)</f>
        <v>18.284913708814056</v>
      </c>
      <c r="L11">
        <f t="shared" si="0"/>
        <v>22052.642943425835</v>
      </c>
    </row>
    <row r="12" spans="1:12" x14ac:dyDescent="0.3">
      <c r="A12">
        <v>11</v>
      </c>
      <c r="B12">
        <v>2250</v>
      </c>
      <c r="C12">
        <v>750</v>
      </c>
      <c r="D12">
        <v>50.730770999999997</v>
      </c>
      <c r="E12">
        <v>32.445529000000001</v>
      </c>
      <c r="F12">
        <v>22.711870999999999</v>
      </c>
      <c r="G12">
        <v>3.2919734198000001</v>
      </c>
      <c r="H12">
        <v>1178.4865199999999</v>
      </c>
      <c r="I12">
        <v>0</v>
      </c>
      <c r="J12" t="s">
        <v>19</v>
      </c>
      <c r="K12">
        <f>((parameters!$B$3/2)/inputs_df!E12)+((parameters!$B$3/2)/inputs_df!F12)</f>
        <v>18.712681372382544</v>
      </c>
      <c r="L12">
        <f t="shared" si="0"/>
        <v>22052.642750407926</v>
      </c>
    </row>
    <row r="13" spans="1:12" x14ac:dyDescent="0.3">
      <c r="A13">
        <v>12</v>
      </c>
      <c r="B13">
        <v>2750</v>
      </c>
      <c r="C13">
        <v>750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10</v>
      </c>
      <c r="K13">
        <v>0</v>
      </c>
      <c r="L13">
        <f t="shared" si="0"/>
        <v>0</v>
      </c>
    </row>
    <row r="14" spans="1:12" x14ac:dyDescent="0.3">
      <c r="A14">
        <v>13</v>
      </c>
      <c r="B14">
        <v>250</v>
      </c>
      <c r="C14">
        <v>1250</v>
      </c>
      <c r="D14">
        <v>76.253219999999999</v>
      </c>
      <c r="E14">
        <v>48.477446</v>
      </c>
      <c r="F14">
        <v>33.934212000000002</v>
      </c>
      <c r="G14">
        <v>7.3931228105000004</v>
      </c>
      <c r="H14">
        <v>1760.7978069999999</v>
      </c>
      <c r="I14">
        <v>0</v>
      </c>
      <c r="J14" t="s">
        <v>20</v>
      </c>
      <c r="K14">
        <f>((parameters!$B$3/2)/inputs_df!E14)+((parameters!$B$3/2)/inputs_df!F14)</f>
        <v>12.524233625009252</v>
      </c>
      <c r="L14">
        <f t="shared" si="0"/>
        <v>22052.643101271951</v>
      </c>
    </row>
    <row r="15" spans="1:12" x14ac:dyDescent="0.3">
      <c r="A15">
        <v>14</v>
      </c>
      <c r="B15">
        <v>750</v>
      </c>
      <c r="C15">
        <v>1250</v>
      </c>
      <c r="D15">
        <v>73.992118000000005</v>
      </c>
      <c r="E15">
        <v>44.924925999999999</v>
      </c>
      <c r="F15">
        <v>31.447448000000001</v>
      </c>
      <c r="G15">
        <v>6.6481808093000003</v>
      </c>
      <c r="H15">
        <v>1631.7631449999999</v>
      </c>
      <c r="I15">
        <v>0</v>
      </c>
      <c r="J15" t="s">
        <v>21</v>
      </c>
      <c r="K15">
        <f>((parameters!$B$3/2)/inputs_df!E15)+((parameters!$B$3/2)/inputs_df!F15)</f>
        <v>13.514610116758348</v>
      </c>
      <c r="L15">
        <f t="shared" si="0"/>
        <v>22052.64270757042</v>
      </c>
    </row>
    <row r="16" spans="1:12" x14ac:dyDescent="0.3">
      <c r="A16">
        <v>15</v>
      </c>
      <c r="B16">
        <v>1250</v>
      </c>
      <c r="C16">
        <v>1250</v>
      </c>
      <c r="D16">
        <v>69.744193999999993</v>
      </c>
      <c r="E16">
        <v>40.730649</v>
      </c>
      <c r="F16">
        <v>28.511454000000001</v>
      </c>
      <c r="G16">
        <v>5.6814524979999996</v>
      </c>
      <c r="H16">
        <v>1479.418615</v>
      </c>
      <c r="I16">
        <v>0</v>
      </c>
      <c r="J16" t="s">
        <v>22</v>
      </c>
      <c r="K16">
        <f>((parameters!$B$3/2)/inputs_df!E16)+((parameters!$B$3/2)/inputs_df!F16)</f>
        <v>14.906289877697391</v>
      </c>
      <c r="L16">
        <f t="shared" si="0"/>
        <v>22052.642725651596</v>
      </c>
    </row>
    <row r="17" spans="1:12" x14ac:dyDescent="0.3">
      <c r="A17">
        <v>16</v>
      </c>
      <c r="B17">
        <v>1750</v>
      </c>
      <c r="C17">
        <v>1250</v>
      </c>
      <c r="D17">
        <v>58.521304999999998</v>
      </c>
      <c r="E17">
        <v>39.043469000000002</v>
      </c>
      <c r="F17">
        <v>27.330428000000001</v>
      </c>
      <c r="G17">
        <v>4.5697494458000003</v>
      </c>
      <c r="H17">
        <v>1418.1368640000001</v>
      </c>
      <c r="I17">
        <v>0</v>
      </c>
      <c r="J17" t="s">
        <v>23</v>
      </c>
      <c r="K17">
        <f>((parameters!$B$3/2)/inputs_df!E17)+((parameters!$B$3/2)/inputs_df!F17)</f>
        <v>15.55043331480444</v>
      </c>
      <c r="L17">
        <f t="shared" si="0"/>
        <v>22052.642734897894</v>
      </c>
    </row>
    <row r="18" spans="1:12" x14ac:dyDescent="0.3">
      <c r="A18">
        <v>17</v>
      </c>
      <c r="B18">
        <v>2250</v>
      </c>
      <c r="C18">
        <v>1250</v>
      </c>
      <c r="D18">
        <v>38.069355999999999</v>
      </c>
      <c r="E18">
        <v>39.830537999999997</v>
      </c>
      <c r="F18">
        <v>27.881377000000001</v>
      </c>
      <c r="G18">
        <v>3.0326458490000001</v>
      </c>
      <c r="H18">
        <v>1446.7248099999999</v>
      </c>
      <c r="I18">
        <v>0</v>
      </c>
      <c r="J18" t="s">
        <v>24</v>
      </c>
      <c r="K18">
        <f>((parameters!$B$3/2)/inputs_df!E18)+((parameters!$B$3/2)/inputs_df!F18)</f>
        <v>15.243149666196057</v>
      </c>
      <c r="L18">
        <f t="shared" si="0"/>
        <v>22052.642804629053</v>
      </c>
    </row>
    <row r="19" spans="1:12" x14ac:dyDescent="0.3">
      <c r="A19">
        <v>18</v>
      </c>
      <c r="B19">
        <v>2750</v>
      </c>
      <c r="C19">
        <v>1250</v>
      </c>
      <c r="D19">
        <v>20</v>
      </c>
      <c r="E19">
        <v>40.721004000000001</v>
      </c>
      <c r="F19">
        <v>28.504702999999999</v>
      </c>
      <c r="G19">
        <v>1.6288401648999999</v>
      </c>
      <c r="H19">
        <v>1479.0683120000001</v>
      </c>
      <c r="I19">
        <v>0</v>
      </c>
      <c r="J19" t="s">
        <v>25</v>
      </c>
      <c r="K19">
        <f>((parameters!$B$3/2)/inputs_df!E19)+((parameters!$B$3/2)/inputs_df!F19)</f>
        <v>14.909820362901783</v>
      </c>
      <c r="L19">
        <f t="shared" si="0"/>
        <v>22052.642836380368</v>
      </c>
    </row>
    <row r="20" spans="1:12" x14ac:dyDescent="0.3">
      <c r="A20">
        <v>19</v>
      </c>
      <c r="B20">
        <v>250</v>
      </c>
      <c r="C20">
        <v>1750</v>
      </c>
      <c r="D20">
        <v>63.094569</v>
      </c>
      <c r="E20">
        <v>51.073602999999999</v>
      </c>
      <c r="F20">
        <v>35.751522000000001</v>
      </c>
      <c r="G20">
        <v>6.4449340080999997</v>
      </c>
      <c r="H20">
        <v>1855.095415</v>
      </c>
      <c r="I20">
        <v>0</v>
      </c>
      <c r="J20" t="s">
        <v>26</v>
      </c>
      <c r="K20">
        <f>((parameters!$B$3/2)/inputs_df!E20)+((parameters!$B$3/2)/inputs_df!F20)</f>
        <v>11.887605778308133</v>
      </c>
      <c r="L20">
        <f t="shared" si="0"/>
        <v>22052.642974666924</v>
      </c>
    </row>
    <row r="21" spans="1:12" x14ac:dyDescent="0.3">
      <c r="A21">
        <v>20</v>
      </c>
      <c r="B21">
        <v>750</v>
      </c>
      <c r="C21">
        <v>1750</v>
      </c>
      <c r="D21">
        <v>60.191662999999998</v>
      </c>
      <c r="E21">
        <v>47.657344999999999</v>
      </c>
      <c r="F21">
        <v>33.360142000000003</v>
      </c>
      <c r="G21">
        <v>5.7371497400000004</v>
      </c>
      <c r="H21">
        <v>1731.0101030000001</v>
      </c>
      <c r="I21">
        <v>0</v>
      </c>
      <c r="J21" t="s">
        <v>27</v>
      </c>
      <c r="K21">
        <f>((parameters!$B$3/2)/inputs_df!E21)+((parameters!$B$3/2)/inputs_df!F21)</f>
        <v>12.739754004131353</v>
      </c>
      <c r="L21">
        <f t="shared" si="0"/>
        <v>22052.642890886076</v>
      </c>
    </row>
    <row r="22" spans="1:12" x14ac:dyDescent="0.3">
      <c r="A22">
        <v>21</v>
      </c>
      <c r="B22">
        <v>1250</v>
      </c>
      <c r="C22">
        <v>1750</v>
      </c>
      <c r="D22">
        <v>59.451129999999999</v>
      </c>
      <c r="E22">
        <v>43.356054999999998</v>
      </c>
      <c r="F22">
        <v>30.349238</v>
      </c>
      <c r="G22">
        <v>5.1551328953000004</v>
      </c>
      <c r="H22">
        <v>1574.7786180000001</v>
      </c>
      <c r="I22">
        <v>0</v>
      </c>
      <c r="J22" t="s">
        <v>28</v>
      </c>
      <c r="K22">
        <f>((parameters!$B$3/2)/inputs_df!E22)+((parameters!$B$3/2)/inputs_df!F22)</f>
        <v>14.003646388647265</v>
      </c>
      <c r="L22">
        <f t="shared" si="0"/>
        <v>22052.642906874633</v>
      </c>
    </row>
    <row r="23" spans="1:12" x14ac:dyDescent="0.3">
      <c r="A23">
        <v>22</v>
      </c>
      <c r="B23">
        <v>1750</v>
      </c>
      <c r="C23">
        <v>1750</v>
      </c>
      <c r="D23">
        <v>56.090102000000002</v>
      </c>
      <c r="E23">
        <v>40.618752999999998</v>
      </c>
      <c r="F23">
        <v>28.433126999999999</v>
      </c>
      <c r="G23">
        <v>4.5566200553999998</v>
      </c>
      <c r="H23">
        <v>1475.3543520000001</v>
      </c>
      <c r="I23">
        <v>0</v>
      </c>
      <c r="J23" t="s">
        <v>29</v>
      </c>
      <c r="K23">
        <f>((parameters!$B$3/2)/inputs_df!E23)+((parameters!$B$3/2)/inputs_df!F23)</f>
        <v>14.947353465010048</v>
      </c>
      <c r="L23">
        <f t="shared" si="0"/>
        <v>22052.642985484854</v>
      </c>
    </row>
    <row r="24" spans="1:12" x14ac:dyDescent="0.3">
      <c r="A24">
        <v>23</v>
      </c>
      <c r="B24">
        <v>2250</v>
      </c>
      <c r="C24">
        <v>1750</v>
      </c>
      <c r="D24">
        <v>43.610605999999997</v>
      </c>
      <c r="E24">
        <v>39.839691000000002</v>
      </c>
      <c r="F24">
        <v>27.887784</v>
      </c>
      <c r="G24">
        <v>3.4748661791000002</v>
      </c>
      <c r="H24">
        <v>1447.0572609999999</v>
      </c>
      <c r="I24">
        <v>0</v>
      </c>
      <c r="J24" t="s">
        <v>30</v>
      </c>
      <c r="K24">
        <f>((parameters!$B$3/2)/inputs_df!E24)+((parameters!$B$3/2)/inputs_df!F24)</f>
        <v>15.239647649398915</v>
      </c>
      <c r="L24">
        <f t="shared" si="0"/>
        <v>22052.642786144283</v>
      </c>
    </row>
    <row r="25" spans="1:12" x14ac:dyDescent="0.3">
      <c r="A25">
        <v>24</v>
      </c>
      <c r="B25">
        <v>2750</v>
      </c>
      <c r="C25">
        <v>1750</v>
      </c>
      <c r="D25">
        <v>30.107491</v>
      </c>
      <c r="E25">
        <v>39.793633</v>
      </c>
      <c r="F25">
        <v>27.855543000000001</v>
      </c>
      <c r="G25">
        <v>2.3961728651</v>
      </c>
      <c r="H25">
        <v>1445.3843360000001</v>
      </c>
      <c r="I25">
        <v>1</v>
      </c>
      <c r="J25" t="s">
        <v>31</v>
      </c>
      <c r="K25">
        <f>((parameters!$B$3/2)/inputs_df!E25)+((parameters!$B$3/2)/inputs_df!F25)</f>
        <v>15.257286471556444</v>
      </c>
      <c r="L25">
        <f t="shared" si="0"/>
        <v>22052.642875852394</v>
      </c>
    </row>
    <row r="26" spans="1:12" x14ac:dyDescent="0.3">
      <c r="A26">
        <v>25</v>
      </c>
      <c r="B26">
        <v>250</v>
      </c>
      <c r="C26">
        <v>2250</v>
      </c>
      <c r="D26">
        <v>45.804108999999997</v>
      </c>
      <c r="E26">
        <v>56.126389000000003</v>
      </c>
      <c r="F26">
        <v>39.288473000000003</v>
      </c>
      <c r="G26">
        <v>5.1416384855999997</v>
      </c>
      <c r="H26">
        <v>2038.622717</v>
      </c>
      <c r="I26">
        <v>0</v>
      </c>
      <c r="J26" t="s">
        <v>32</v>
      </c>
      <c r="K26">
        <f>((parameters!$B$3/2)/inputs_df!E26)+((parameters!$B$3/2)/inputs_df!F26)</f>
        <v>10.81742227848771</v>
      </c>
      <c r="L26">
        <f t="shared" si="0"/>
        <v>22052.642796306944</v>
      </c>
    </row>
    <row r="27" spans="1:12" x14ac:dyDescent="0.3">
      <c r="A27">
        <v>26</v>
      </c>
      <c r="B27">
        <v>750</v>
      </c>
      <c r="C27">
        <v>2250</v>
      </c>
      <c r="D27">
        <v>45.567642999999997</v>
      </c>
      <c r="E27">
        <v>52.830334000000001</v>
      </c>
      <c r="F27">
        <v>36.981233000000003</v>
      </c>
      <c r="G27">
        <v>4.8147075974</v>
      </c>
      <c r="H27">
        <v>1918.9033750000001</v>
      </c>
      <c r="I27">
        <v>0</v>
      </c>
      <c r="J27" t="s">
        <v>33</v>
      </c>
      <c r="K27">
        <f>((parameters!$B$3/2)/inputs_df!E27)+((parameters!$B$3/2)/inputs_df!F27)</f>
        <v>11.492315472939913</v>
      </c>
      <c r="L27">
        <f t="shared" si="0"/>
        <v>22052.64294758912</v>
      </c>
    </row>
    <row r="28" spans="1:12" x14ac:dyDescent="0.3">
      <c r="A28">
        <v>27</v>
      </c>
      <c r="B28">
        <v>1250</v>
      </c>
      <c r="C28">
        <v>2250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 t="s">
        <v>10</v>
      </c>
      <c r="K28">
        <v>0</v>
      </c>
      <c r="L28">
        <f t="shared" si="0"/>
        <v>0</v>
      </c>
    </row>
    <row r="29" spans="1:12" x14ac:dyDescent="0.3">
      <c r="A29">
        <v>28</v>
      </c>
      <c r="B29">
        <v>1750</v>
      </c>
      <c r="C29">
        <v>2250</v>
      </c>
      <c r="D29">
        <v>63.889941</v>
      </c>
      <c r="E29">
        <v>43.069828999999999</v>
      </c>
      <c r="F29">
        <v>30.148880999999999</v>
      </c>
      <c r="G29">
        <v>5.5034577419000001</v>
      </c>
      <c r="H29">
        <v>1564.3823460000001</v>
      </c>
      <c r="I29">
        <v>0</v>
      </c>
      <c r="J29" t="s">
        <v>34</v>
      </c>
      <c r="K29">
        <f>((parameters!$B$3/2)/inputs_df!E29)+((parameters!$B$3/2)/inputs_df!F29)</f>
        <v>14.096709064033559</v>
      </c>
      <c r="L29">
        <f t="shared" si="0"/>
        <v>22052.642796472286</v>
      </c>
    </row>
    <row r="30" spans="1:12" x14ac:dyDescent="0.3">
      <c r="A30">
        <v>29</v>
      </c>
      <c r="B30">
        <v>2250</v>
      </c>
      <c r="C30">
        <v>2250</v>
      </c>
      <c r="D30">
        <v>64.163621000000006</v>
      </c>
      <c r="E30">
        <v>39.838436000000002</v>
      </c>
      <c r="F30">
        <v>27.886904999999999</v>
      </c>
      <c r="G30">
        <v>5.1123565484000002</v>
      </c>
      <c r="H30">
        <v>1447.0116640000001</v>
      </c>
      <c r="I30">
        <v>0</v>
      </c>
      <c r="J30" t="s">
        <v>35</v>
      </c>
      <c r="K30">
        <f>((parameters!$B$3/2)/inputs_df!E30)+((parameters!$B$3/2)/inputs_df!F30)</f>
        <v>15.240127893178919</v>
      </c>
      <c r="L30">
        <f t="shared" si="0"/>
        <v>22052.642822281643</v>
      </c>
    </row>
    <row r="31" spans="1:12" x14ac:dyDescent="0.3">
      <c r="A31">
        <v>30</v>
      </c>
      <c r="B31">
        <v>2750</v>
      </c>
      <c r="C31">
        <v>2250</v>
      </c>
      <c r="D31">
        <v>57.747672999999999</v>
      </c>
      <c r="E31">
        <v>38.478079999999999</v>
      </c>
      <c r="F31">
        <v>26.934656</v>
      </c>
      <c r="G31">
        <v>4.4440391780999997</v>
      </c>
      <c r="H31">
        <v>1397.600833</v>
      </c>
      <c r="I31">
        <v>0</v>
      </c>
      <c r="J31" t="s">
        <v>36</v>
      </c>
      <c r="K31">
        <f>((parameters!$B$3/2)/inputs_df!E31)+((parameters!$B$3/2)/inputs_df!F31)</f>
        <v>15.77892808432378</v>
      </c>
      <c r="L31">
        <f t="shared" si="0"/>
        <v>22052.643034498011</v>
      </c>
    </row>
    <row r="32" spans="1:12" x14ac:dyDescent="0.3">
      <c r="A32">
        <v>31</v>
      </c>
      <c r="B32">
        <v>250</v>
      </c>
      <c r="C32">
        <v>2750</v>
      </c>
      <c r="D32">
        <v>30.289884000000001</v>
      </c>
      <c r="E32">
        <v>60.69</v>
      </c>
      <c r="F32">
        <v>42.482999999999997</v>
      </c>
      <c r="G32">
        <v>3.6765860901999998</v>
      </c>
      <c r="H32">
        <v>2204.3821800000001</v>
      </c>
      <c r="I32">
        <v>1</v>
      </c>
      <c r="J32" t="s">
        <v>37</v>
      </c>
      <c r="K32">
        <f>((parameters!$B$3/2)/inputs_df!E32)+((parameters!$B$3/2)/inputs_df!F32)</f>
        <v>10.004001600640258</v>
      </c>
      <c r="L32">
        <f t="shared" si="0"/>
        <v>22052.642857142862</v>
      </c>
    </row>
    <row r="33" spans="1:12" x14ac:dyDescent="0.3">
      <c r="A33">
        <v>32</v>
      </c>
      <c r="B33">
        <v>750</v>
      </c>
      <c r="C33">
        <v>2750</v>
      </c>
      <c r="D33">
        <v>33.362513999999997</v>
      </c>
      <c r="E33">
        <v>57.843561000000001</v>
      </c>
      <c r="F33">
        <v>40.490493000000001</v>
      </c>
      <c r="G33">
        <v>3.8596132339999998</v>
      </c>
      <c r="H33">
        <v>2100.993841</v>
      </c>
      <c r="I33">
        <v>0</v>
      </c>
      <c r="J33" t="s">
        <v>38</v>
      </c>
      <c r="K33">
        <f>((parameters!$B$3/2)/inputs_df!E33)+((parameters!$B$3/2)/inputs_df!F33)</f>
        <v>10.496291099656421</v>
      </c>
      <c r="L33">
        <f t="shared" si="0"/>
        <v>22052.642953721257</v>
      </c>
    </row>
    <row r="34" spans="1:12" x14ac:dyDescent="0.3">
      <c r="A34">
        <v>33</v>
      </c>
      <c r="B34">
        <v>1250</v>
      </c>
      <c r="C34">
        <v>2750</v>
      </c>
      <c r="D34">
        <v>49.502209000000001</v>
      </c>
      <c r="E34">
        <v>52.946148000000001</v>
      </c>
      <c r="F34">
        <v>37.062303999999997</v>
      </c>
      <c r="G34">
        <v>5.2419026492</v>
      </c>
      <c r="H34">
        <v>1923.1100060000001</v>
      </c>
      <c r="I34">
        <v>0</v>
      </c>
      <c r="J34" t="s">
        <v>39</v>
      </c>
      <c r="K34">
        <f>((parameters!$B$3/2)/inputs_df!E34)+((parameters!$B$3/2)/inputs_df!F34)</f>
        <v>11.467177051073552</v>
      </c>
      <c r="L34">
        <f t="shared" si="0"/>
        <v>22052.642927493122</v>
      </c>
    </row>
    <row r="35" spans="1:12" x14ac:dyDescent="0.3">
      <c r="A35">
        <v>34</v>
      </c>
      <c r="B35">
        <v>1750</v>
      </c>
      <c r="C35">
        <v>2750</v>
      </c>
      <c r="D35">
        <v>71.196338999999995</v>
      </c>
      <c r="E35">
        <v>47.161124000000001</v>
      </c>
      <c r="F35">
        <v>33.012787000000003</v>
      </c>
      <c r="G35">
        <v>6.7153987793000001</v>
      </c>
      <c r="H35">
        <v>1712.986363</v>
      </c>
      <c r="I35">
        <v>0</v>
      </c>
      <c r="J35" t="s">
        <v>40</v>
      </c>
      <c r="K35">
        <f>((parameters!$B$3/2)/inputs_df!E35)+((parameters!$B$3/2)/inputs_df!F35)</f>
        <v>12.87379950866297</v>
      </c>
      <c r="L35">
        <f t="shared" si="0"/>
        <v>22052.642998335767</v>
      </c>
    </row>
    <row r="36" spans="1:12" x14ac:dyDescent="0.3">
      <c r="A36">
        <v>35</v>
      </c>
      <c r="B36">
        <v>2250</v>
      </c>
      <c r="C36">
        <v>2750</v>
      </c>
      <c r="D36">
        <v>81.767923999999994</v>
      </c>
      <c r="E36">
        <v>42.697363000000003</v>
      </c>
      <c r="F36">
        <v>29.888154</v>
      </c>
      <c r="G36">
        <v>6.9825495062999998</v>
      </c>
      <c r="H36">
        <v>1550.8536200000001</v>
      </c>
      <c r="I36">
        <v>0</v>
      </c>
      <c r="J36" t="s">
        <v>41</v>
      </c>
      <c r="K36">
        <f>((parameters!$B$3/2)/inputs_df!E36)+((parameters!$B$3/2)/inputs_df!F36)</f>
        <v>14.219680459839832</v>
      </c>
      <c r="L36">
        <f t="shared" si="0"/>
        <v>22052.64291638587</v>
      </c>
    </row>
    <row r="37" spans="1:12" x14ac:dyDescent="0.3">
      <c r="A37">
        <v>36</v>
      </c>
      <c r="B37">
        <v>2750</v>
      </c>
      <c r="C37">
        <v>2750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 t="s">
        <v>10</v>
      </c>
      <c r="K37">
        <v>0</v>
      </c>
      <c r="L37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3" sqref="E3:F9"/>
    </sheetView>
  </sheetViews>
  <sheetFormatPr defaultRowHeight="14.4" x14ac:dyDescent="0.3"/>
  <sheetData>
    <row r="1" spans="1:6" x14ac:dyDescent="0.3">
      <c r="A1" s="1" t="s">
        <v>42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46</v>
      </c>
      <c r="B2">
        <v>3</v>
      </c>
      <c r="C2">
        <v>0</v>
      </c>
      <c r="D2">
        <v>10</v>
      </c>
      <c r="E2">
        <v>0</v>
      </c>
      <c r="F2">
        <v>0</v>
      </c>
    </row>
    <row r="3" spans="1:6" x14ac:dyDescent="0.3">
      <c r="A3" t="s">
        <v>47</v>
      </c>
      <c r="B3">
        <v>1</v>
      </c>
      <c r="C3">
        <v>1</v>
      </c>
      <c r="D3">
        <v>0</v>
      </c>
      <c r="E3">
        <v>10</v>
      </c>
      <c r="F3">
        <v>10</v>
      </c>
    </row>
    <row r="4" spans="1:6" x14ac:dyDescent="0.3">
      <c r="A4" t="s">
        <v>48</v>
      </c>
      <c r="B4">
        <v>3</v>
      </c>
      <c r="C4">
        <v>2</v>
      </c>
      <c r="D4">
        <v>0</v>
      </c>
      <c r="E4">
        <v>10</v>
      </c>
      <c r="F4">
        <v>10</v>
      </c>
    </row>
    <row r="5" spans="1:6" x14ac:dyDescent="0.3">
      <c r="A5" t="s">
        <v>49</v>
      </c>
      <c r="B5">
        <v>0</v>
      </c>
      <c r="C5">
        <v>3</v>
      </c>
      <c r="D5">
        <v>0</v>
      </c>
      <c r="E5">
        <v>10</v>
      </c>
      <c r="F5">
        <v>10</v>
      </c>
    </row>
    <row r="6" spans="1:6" x14ac:dyDescent="0.3">
      <c r="A6" t="s">
        <v>50</v>
      </c>
      <c r="B6">
        <v>5</v>
      </c>
      <c r="C6">
        <v>3</v>
      </c>
      <c r="D6">
        <v>0</v>
      </c>
      <c r="E6">
        <v>10</v>
      </c>
      <c r="F6">
        <v>10</v>
      </c>
    </row>
    <row r="7" spans="1:6" x14ac:dyDescent="0.3">
      <c r="A7" t="s">
        <v>51</v>
      </c>
      <c r="B7">
        <v>1</v>
      </c>
      <c r="C7">
        <v>4</v>
      </c>
      <c r="D7">
        <v>0</v>
      </c>
      <c r="E7">
        <v>10</v>
      </c>
      <c r="F7">
        <v>10</v>
      </c>
    </row>
    <row r="8" spans="1:6" x14ac:dyDescent="0.3">
      <c r="A8" t="s">
        <v>52</v>
      </c>
      <c r="B8">
        <v>3</v>
      </c>
      <c r="C8">
        <v>4</v>
      </c>
      <c r="D8">
        <v>0</v>
      </c>
      <c r="E8">
        <v>10</v>
      </c>
      <c r="F8">
        <v>10</v>
      </c>
    </row>
    <row r="9" spans="1:6" x14ac:dyDescent="0.3">
      <c r="A9" t="s">
        <v>53</v>
      </c>
      <c r="B9">
        <v>0</v>
      </c>
      <c r="C9">
        <v>5</v>
      </c>
      <c r="D9">
        <v>0</v>
      </c>
      <c r="E9">
        <v>10</v>
      </c>
      <c r="F9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7" sqref="B17"/>
    </sheetView>
  </sheetViews>
  <sheetFormatPr defaultRowHeight="14.4" x14ac:dyDescent="0.3"/>
  <sheetData>
    <row r="1" spans="1:3" x14ac:dyDescent="0.3">
      <c r="A1" s="1" t="s">
        <v>54</v>
      </c>
      <c r="B1" s="1" t="s">
        <v>55</v>
      </c>
      <c r="C1" s="1" t="s">
        <v>56</v>
      </c>
    </row>
    <row r="2" spans="1:3" x14ac:dyDescent="0.3">
      <c r="A2" t="s">
        <v>57</v>
      </c>
      <c r="B2">
        <v>36</v>
      </c>
      <c r="C2" t="s">
        <v>58</v>
      </c>
    </row>
    <row r="3" spans="1:3" x14ac:dyDescent="0.3">
      <c r="A3" t="s">
        <v>59</v>
      </c>
      <c r="B3">
        <v>500</v>
      </c>
      <c r="C3" t="s">
        <v>60</v>
      </c>
    </row>
    <row r="4" spans="1:3" x14ac:dyDescent="0.3">
      <c r="A4" t="s">
        <v>61</v>
      </c>
      <c r="B4">
        <v>3000</v>
      </c>
      <c r="C4" t="s">
        <v>62</v>
      </c>
    </row>
    <row r="5" spans="1:3" x14ac:dyDescent="0.3">
      <c r="A5" t="s">
        <v>63</v>
      </c>
      <c r="B5">
        <v>250000</v>
      </c>
      <c r="C5" t="s">
        <v>64</v>
      </c>
    </row>
    <row r="6" spans="1:3" x14ac:dyDescent="0.3">
      <c r="A6" t="s">
        <v>65</v>
      </c>
      <c r="B6">
        <v>24</v>
      </c>
      <c r="C6" t="s">
        <v>66</v>
      </c>
    </row>
    <row r="7" spans="1:3" x14ac:dyDescent="0.3">
      <c r="A7" t="s">
        <v>67</v>
      </c>
      <c r="B7">
        <v>36322</v>
      </c>
      <c r="C7" t="s">
        <v>68</v>
      </c>
    </row>
    <row r="8" spans="1:3" x14ac:dyDescent="0.3">
      <c r="A8" t="s">
        <v>69</v>
      </c>
      <c r="B8">
        <v>3.6322E-2</v>
      </c>
      <c r="C8" t="s">
        <v>70</v>
      </c>
    </row>
    <row r="9" spans="1:3" x14ac:dyDescent="0.3">
      <c r="A9" t="s">
        <v>71</v>
      </c>
      <c r="B9">
        <v>9080.5</v>
      </c>
      <c r="C9" t="s">
        <v>70</v>
      </c>
    </row>
    <row r="10" spans="1:3" x14ac:dyDescent="0.3">
      <c r="A10" t="s">
        <v>72</v>
      </c>
      <c r="B10" t="s">
        <v>73</v>
      </c>
      <c r="C10" t="s">
        <v>74</v>
      </c>
    </row>
    <row r="11" spans="1:3" x14ac:dyDescent="0.3">
      <c r="A11" t="s">
        <v>75</v>
      </c>
      <c r="B11">
        <v>166.67</v>
      </c>
    </row>
    <row r="12" spans="1:3" x14ac:dyDescent="0.3">
      <c r="A12" t="s">
        <v>76</v>
      </c>
      <c r="B12">
        <v>2000</v>
      </c>
    </row>
    <row r="13" spans="1:3" x14ac:dyDescent="0.3">
      <c r="A13" t="s">
        <v>77</v>
      </c>
      <c r="B13">
        <v>117.65</v>
      </c>
    </row>
    <row r="14" spans="1:3" x14ac:dyDescent="0.3">
      <c r="A14" t="s">
        <v>78</v>
      </c>
      <c r="B14">
        <v>500</v>
      </c>
    </row>
    <row r="15" spans="1:3" x14ac:dyDescent="0.3">
      <c r="A15" t="s">
        <v>79</v>
      </c>
      <c r="B15">
        <v>15</v>
      </c>
    </row>
    <row r="16" spans="1:3" x14ac:dyDescent="0.3">
      <c r="A16" t="s">
        <v>80</v>
      </c>
      <c r="B16">
        <v>1000</v>
      </c>
    </row>
    <row r="17" spans="1:2" x14ac:dyDescent="0.3">
      <c r="A17" t="s">
        <v>83</v>
      </c>
      <c r="B17">
        <f>196.052852755615+MAX(inputs_df!K2:K37)</f>
        <v>225.39760177170282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2026-02-24T12:48:03Z</dcterms:created>
  <dcterms:modified xsi:type="dcterms:W3CDTF">2026-04-03T07:24:29Z</dcterms:modified>
</cp:coreProperties>
</file>
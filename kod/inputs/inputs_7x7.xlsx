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CC93C523-863F-4AB8-913C-73D63146686B}" xr6:coauthVersionLast="47" xr6:coauthVersionMax="47" xr10:uidLastSave="{00000000-0000-0000-0000-000000000000}"/>
  <bookViews>
    <workbookView xWindow="1776" yWindow="1776" windowWidth="11364" windowHeight="9756" activeTab="1" xr2:uid="{00000000-000D-0000-FFFF-FFFF00000000}"/>
  </bookViews>
  <sheets>
    <sheet name="inputs_df" sheetId="1" r:id="rId1"/>
    <sheet name="bases" sheetId="2" r:id="rId2"/>
    <sheet name="parameters" sheetId="3" r:id="rId3"/>
  </sheets>
  <definedNames>
    <definedName name="_xlnm._FilterDatabase" localSheetId="0" hidden="1">inputs_df!$A$1:$L$50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4" i="1"/>
  <c r="L42" i="1"/>
  <c r="L46" i="1"/>
  <c r="L49" i="1"/>
  <c r="L38" i="1"/>
  <c r="K39" i="1"/>
  <c r="L39" i="1" s="1"/>
  <c r="K40" i="1"/>
  <c r="L40" i="1" s="1"/>
  <c r="K41" i="1"/>
  <c r="L41" i="1" s="1"/>
  <c r="K42" i="1"/>
  <c r="K43" i="1"/>
  <c r="L43" i="1" s="1"/>
  <c r="K44" i="1"/>
  <c r="L44" i="1" s="1"/>
  <c r="K45" i="1"/>
  <c r="L45" i="1" s="1"/>
  <c r="K46" i="1"/>
  <c r="K47" i="1"/>
  <c r="L47" i="1" s="1"/>
  <c r="K48" i="1"/>
  <c r="L48" i="1" s="1"/>
  <c r="K49" i="1"/>
  <c r="L50" i="1"/>
  <c r="K5" i="1"/>
  <c r="L5" i="1" s="1"/>
  <c r="K6" i="1"/>
  <c r="K7" i="1"/>
  <c r="L7" i="1" s="1"/>
  <c r="K8" i="1"/>
  <c r="K9" i="1"/>
  <c r="L9" i="1" s="1"/>
  <c r="K10" i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K21" i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L29" i="1"/>
  <c r="K30" i="1"/>
  <c r="K31" i="1"/>
  <c r="L31" i="1" s="1"/>
  <c r="K32" i="1"/>
  <c r="K33" i="1"/>
  <c r="L33" i="1" s="1"/>
  <c r="K34" i="1"/>
  <c r="L34" i="1" s="1"/>
  <c r="K35" i="1"/>
  <c r="L35" i="1" s="1"/>
  <c r="K36" i="1"/>
  <c r="L36" i="1" s="1"/>
  <c r="K37" i="1"/>
  <c r="L37" i="1" s="1"/>
  <c r="L4" i="1"/>
  <c r="L32" i="1"/>
  <c r="L30" i="1"/>
  <c r="L21" i="1"/>
  <c r="L20" i="1"/>
  <c r="L10" i="1"/>
  <c r="L8" i="1"/>
  <c r="L6" i="1"/>
  <c r="L3" i="1"/>
</calcChain>
</file>

<file path=xl/sharedStrings.xml><?xml version="1.0" encoding="utf-8"?>
<sst xmlns="http://schemas.openxmlformats.org/spreadsheetml/2006/main" count="104" uniqueCount="97">
  <si>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</si>
  <si>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</si>
  <si>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</si>
  <si>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</si>
  <si>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</si>
  <si>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</si>
  <si>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</si>
  <si>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</si>
  <si>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</si>
  <si>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</si>
  <si>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</si>
  <si>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[10, 4]</t>
  </si>
  <si>
    <t>[11, 3, 5]</t>
  </si>
  <si>
    <t>[12, 4, 6]</t>
  </si>
  <si>
    <t>[13, 5, 7]</t>
  </si>
  <si>
    <t>[14, 6]</t>
  </si>
  <si>
    <t>[15, 9]</t>
  </si>
  <si>
    <t>[16, 8, 10]</t>
  </si>
  <si>
    <t>[3, 17, 9, 11]</t>
  </si>
  <si>
    <t>[4, 18, 10, 12]</t>
  </si>
  <si>
    <t>[5, 19, 11]</t>
  </si>
  <si>
    <t>[6, 20,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</si>
  <si>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</si>
  <si>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</si>
  <si>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</si>
  <si>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</si>
  <si>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</si>
  <si>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</si>
  <si>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</si>
  <si>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20]</t>
  </si>
  <si>
    <t>[15, 29, 23]</t>
  </si>
  <si>
    <t>[16, 30, 22]</t>
  </si>
  <si>
    <t>[17, 31, 25]</t>
  </si>
  <si>
    <t>[18, 32, 24, 26]</t>
  </si>
  <si>
    <t>[19, 33, 25, 27]</t>
  </si>
  <si>
    <t>[20, 34, 26]</t>
  </si>
  <si>
    <t>[22, 36, 30]</t>
  </si>
  <si>
    <t>[23, 29, 31]</t>
  </si>
  <si>
    <t>[24, 30, 32]</t>
  </si>
  <si>
    <t>[25, 39, 31, 33]</t>
  </si>
  <si>
    <t>[26, 40, 32, 34]</t>
  </si>
  <si>
    <t>[27, 41, 33, 35]</t>
  </si>
  <si>
    <t>[42, 34]</t>
  </si>
  <si>
    <t>[29, 43]</t>
  </si>
  <si>
    <t>[45, 39]</t>
  </si>
  <si>
    <t>[32, 38]</t>
  </si>
  <si>
    <t>[33, 41]</t>
  </si>
  <si>
    <t>[34, 48, 40, 42]</t>
  </si>
  <si>
    <t>[35, 41]</t>
  </si>
  <si>
    <t>[36]</t>
  </si>
  <si>
    <t>[45]</t>
  </si>
  <si>
    <t>[38, 44, 46]</t>
  </si>
  <si>
    <t>[45, 47]</t>
  </si>
  <si>
    <t>[46, 48]</t>
  </si>
  <si>
    <t>[41, 47]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</si>
  <si>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</si>
  <si>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</si>
  <si>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</si>
  <si>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</si>
  <si>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</si>
  <si>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</si>
  <si>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</si>
  <si>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</si>
  <si>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</si>
  <si>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</si>
  <si>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</si>
  <si>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</si>
  <si>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</si>
  <si>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</si>
  <si>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</si>
  <si>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</si>
  <si>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</si>
  <si>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</si>
  <si>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</si>
  <si>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</si>
  <si>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</si>
  <si>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</si>
  <si>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</si>
  <si>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</si>
  <si>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</si>
  <si>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</si>
  <si>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</si>
  <si>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</si>
  <si>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</si>
  <si>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</si>
  <si>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</si>
  <si>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39-46;39-40;40-47;31-38;43-44;12-13;23-24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</si>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</sst>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N7" sqref="N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94</v>
      </c>
      <c r="L1" s="2" t="s">
        <v>95</v>
      </c>
      <c r="M1" s="2"/>
    </row>
    <row r="2" spans="1:13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 t="s">
        <v>10</v>
      </c>
      <c r="K2">
        <v>0</v>
      </c>
      <c r="L2">
        <v>0</v>
      </c>
    </row>
    <row r="3" spans="1:13" x14ac:dyDescent="0.3">
      <c r="A3">
        <v>2</v>
      </c>
      <c r="B3">
        <v>750</v>
      </c>
      <c r="C3">
        <v>250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 t="s">
        <v>10</v>
      </c>
      <c r="K3">
        <v>0</v>
      </c>
      <c r="L3">
        <f>H3*K3</f>
        <v>0</v>
      </c>
    </row>
    <row r="4" spans="1:13" x14ac:dyDescent="0.3">
      <c r="A4">
        <v>3</v>
      </c>
      <c r="B4">
        <v>1250</v>
      </c>
      <c r="C4">
        <v>250</v>
      </c>
      <c r="D4">
        <v>81.736317999999997</v>
      </c>
      <c r="E4">
        <v>58.848401000000003</v>
      </c>
      <c r="F4">
        <v>41.193880999999998</v>
      </c>
      <c r="G4">
        <v>9.6201032464999994</v>
      </c>
      <c r="H4">
        <v>2137.49163</v>
      </c>
      <c r="I4">
        <v>0</v>
      </c>
      <c r="J4" t="s">
        <v>11</v>
      </c>
      <c r="K4">
        <f>((parameters!$B$3/2)/inputs_df!E4)+((parameters!$B$3/2)/inputs_df!F4)</f>
        <v>10.317066296192415</v>
      </c>
      <c r="L4">
        <f>H4*K4</f>
        <v>22052.642854266389</v>
      </c>
    </row>
    <row r="5" spans="1:13" x14ac:dyDescent="0.3">
      <c r="A5">
        <v>4</v>
      </c>
      <c r="B5">
        <v>1750</v>
      </c>
      <c r="C5">
        <v>250</v>
      </c>
      <c r="D5">
        <v>71.639387999999997</v>
      </c>
      <c r="E5">
        <v>60.69</v>
      </c>
      <c r="F5">
        <v>42.482999999999997</v>
      </c>
      <c r="G5">
        <v>8.6955889464999991</v>
      </c>
      <c r="H5">
        <v>2204.3821800000001</v>
      </c>
      <c r="I5">
        <v>0</v>
      </c>
      <c r="J5" t="s">
        <v>12</v>
      </c>
      <c r="K5">
        <f>((parameters!$B$3/2)/inputs_df!E5)+((parameters!$B$3/2)/inputs_df!F5)</f>
        <v>10.004001600640258</v>
      </c>
      <c r="L5">
        <f t="shared" ref="L5:L50" si="0">H5*K5</f>
        <v>22052.642857142862</v>
      </c>
    </row>
    <row r="6" spans="1:13" x14ac:dyDescent="0.3">
      <c r="A6">
        <v>5</v>
      </c>
      <c r="B6">
        <v>2250</v>
      </c>
      <c r="C6">
        <v>250</v>
      </c>
      <c r="D6">
        <v>66.227529000000004</v>
      </c>
      <c r="E6">
        <v>57.168573000000002</v>
      </c>
      <c r="F6">
        <v>40.018000999999998</v>
      </c>
      <c r="G6">
        <v>7.5722666730999997</v>
      </c>
      <c r="H6">
        <v>2076.4769240000001</v>
      </c>
      <c r="I6">
        <v>1</v>
      </c>
      <c r="J6" t="s">
        <v>13</v>
      </c>
      <c r="K6">
        <f>((parameters!$B$3/2)/inputs_df!E6)+((parameters!$B$3/2)/inputs_df!F6)</f>
        <v>10.620220624280979</v>
      </c>
      <c r="L6">
        <f t="shared" si="0"/>
        <v>22052.643054108328</v>
      </c>
    </row>
    <row r="7" spans="1:13" x14ac:dyDescent="0.3">
      <c r="A7">
        <v>6</v>
      </c>
      <c r="B7">
        <v>2750</v>
      </c>
      <c r="C7">
        <v>250</v>
      </c>
      <c r="D7">
        <v>68.982530999999994</v>
      </c>
      <c r="E7">
        <v>44.963934000000002</v>
      </c>
      <c r="F7">
        <v>31.474754000000001</v>
      </c>
      <c r="G7">
        <v>6.2034519268999997</v>
      </c>
      <c r="H7">
        <v>1633.1799980000001</v>
      </c>
      <c r="I7">
        <v>0</v>
      </c>
      <c r="J7" t="s">
        <v>14</v>
      </c>
      <c r="K7">
        <f>((parameters!$B$3/2)/inputs_df!E7)+((parameters!$B$3/2)/inputs_df!F7)</f>
        <v>13.50288555430814</v>
      </c>
      <c r="L7">
        <f t="shared" si="0"/>
        <v>22052.642602579199</v>
      </c>
    </row>
    <row r="8" spans="1:13" x14ac:dyDescent="0.3">
      <c r="A8">
        <v>7</v>
      </c>
      <c r="B8">
        <v>3250</v>
      </c>
      <c r="C8">
        <v>250</v>
      </c>
      <c r="D8">
        <v>73.985622000000006</v>
      </c>
      <c r="E8">
        <v>32.362687999999999</v>
      </c>
      <c r="F8">
        <v>22.653881999999999</v>
      </c>
      <c r="G8">
        <v>4.7887472217999996</v>
      </c>
      <c r="H8">
        <v>1175.4775649999999</v>
      </c>
      <c r="I8">
        <v>0</v>
      </c>
      <c r="J8" t="s">
        <v>15</v>
      </c>
      <c r="K8">
        <f>((parameters!$B$3/2)/inputs_df!E8)+((parameters!$B$3/2)/inputs_df!F8)</f>
        <v>18.760581656158454</v>
      </c>
      <c r="L8">
        <f t="shared" si="0"/>
        <v>22052.642843164806</v>
      </c>
    </row>
    <row r="9" spans="1:13" x14ac:dyDescent="0.3">
      <c r="A9">
        <v>8</v>
      </c>
      <c r="B9">
        <v>250</v>
      </c>
      <c r="C9">
        <v>750</v>
      </c>
      <c r="D9">
        <v>67.901056999999994</v>
      </c>
      <c r="E9">
        <v>49.258819000000003</v>
      </c>
      <c r="F9">
        <v>34.481172999999998</v>
      </c>
      <c r="G9">
        <v>6.6894517340000004</v>
      </c>
      <c r="H9">
        <v>1789.178819</v>
      </c>
      <c r="I9">
        <v>1</v>
      </c>
      <c r="J9" t="s">
        <v>16</v>
      </c>
      <c r="K9">
        <f>((parameters!$B$3/2)/inputs_df!E9)+((parameters!$B$3/2)/inputs_df!F9)</f>
        <v>12.325566722380065</v>
      </c>
      <c r="L9">
        <f t="shared" si="0"/>
        <v>22052.642911853665</v>
      </c>
    </row>
    <row r="10" spans="1:13" x14ac:dyDescent="0.3">
      <c r="A10">
        <v>9</v>
      </c>
      <c r="B10">
        <v>750</v>
      </c>
      <c r="C10">
        <v>750</v>
      </c>
      <c r="D10">
        <v>66.645861999999994</v>
      </c>
      <c r="E10">
        <v>50.589848000000003</v>
      </c>
      <c r="F10">
        <v>35.412894000000001</v>
      </c>
      <c r="G10">
        <v>6.7432080820999998</v>
      </c>
      <c r="H10">
        <v>1837.524455</v>
      </c>
      <c r="I10">
        <v>0</v>
      </c>
      <c r="J10" t="s">
        <v>17</v>
      </c>
      <c r="K10">
        <f>((parameters!$B$3/2)/inputs_df!E10)+((parameters!$B$3/2)/inputs_df!F10)</f>
        <v>12.00127846023206</v>
      </c>
      <c r="L10">
        <f t="shared" si="0"/>
        <v>22052.642661941154</v>
      </c>
    </row>
    <row r="11" spans="1:13" x14ac:dyDescent="0.3">
      <c r="A11">
        <v>10</v>
      </c>
      <c r="B11">
        <v>1250</v>
      </c>
      <c r="C11">
        <v>750</v>
      </c>
      <c r="D11">
        <v>63.53998</v>
      </c>
      <c r="E11">
        <v>52.966189</v>
      </c>
      <c r="F11">
        <v>37.076332000000001</v>
      </c>
      <c r="G11">
        <v>6.7309411707000004</v>
      </c>
      <c r="H11">
        <v>1923.8379150000001</v>
      </c>
      <c r="I11">
        <v>0</v>
      </c>
      <c r="J11" t="s">
        <v>18</v>
      </c>
      <c r="K11">
        <f>((parameters!$B$3/2)/inputs_df!E11)+((parameters!$B$3/2)/inputs_df!F11)</f>
        <v>11.462838302990768</v>
      </c>
      <c r="L11">
        <f t="shared" si="0"/>
        <v>22052.642940807898</v>
      </c>
    </row>
    <row r="12" spans="1:13" x14ac:dyDescent="0.3">
      <c r="A12">
        <v>11</v>
      </c>
      <c r="B12">
        <v>1750</v>
      </c>
      <c r="C12">
        <v>750</v>
      </c>
      <c r="D12">
        <v>60.164878999999999</v>
      </c>
      <c r="E12">
        <v>55.237026</v>
      </c>
      <c r="F12">
        <v>38.665917999999998</v>
      </c>
      <c r="G12">
        <v>6.6466579756000002</v>
      </c>
      <c r="H12">
        <v>2006.31926</v>
      </c>
      <c r="I12">
        <v>0</v>
      </c>
      <c r="J12" t="s">
        <v>19</v>
      </c>
      <c r="K12">
        <f>((parameters!$B$3/2)/inputs_df!E12)+((parameters!$B$3/2)/inputs_df!F12)</f>
        <v>10.991592106899159</v>
      </c>
      <c r="L12">
        <f t="shared" si="0"/>
        <v>22052.642942135761</v>
      </c>
    </row>
    <row r="13" spans="1:13" x14ac:dyDescent="0.3">
      <c r="A13">
        <v>12</v>
      </c>
      <c r="B13">
        <v>2250</v>
      </c>
      <c r="C13">
        <v>750</v>
      </c>
      <c r="D13">
        <v>62.271422000000001</v>
      </c>
      <c r="E13">
        <v>52.508324000000002</v>
      </c>
      <c r="F13">
        <v>36.755826999999996</v>
      </c>
      <c r="G13">
        <v>6.5395360376999996</v>
      </c>
      <c r="H13">
        <v>1907.2073499999999</v>
      </c>
      <c r="I13">
        <v>0</v>
      </c>
      <c r="J13" t="s">
        <v>20</v>
      </c>
      <c r="K13">
        <f>((parameters!$B$3/2)/inputs_df!E13)+((parameters!$B$3/2)/inputs_df!F13)</f>
        <v>11.56279250504226</v>
      </c>
      <c r="L13">
        <f t="shared" si="0"/>
        <v>22052.642852141511</v>
      </c>
    </row>
    <row r="14" spans="1:13" x14ac:dyDescent="0.3">
      <c r="A14">
        <v>13</v>
      </c>
      <c r="B14">
        <v>2750</v>
      </c>
      <c r="C14">
        <v>750</v>
      </c>
      <c r="D14">
        <v>71.251258000000007</v>
      </c>
      <c r="E14">
        <v>41.225912000000001</v>
      </c>
      <c r="F14">
        <v>28.858139000000001</v>
      </c>
      <c r="G14">
        <v>5.8747962358999999</v>
      </c>
      <c r="H14">
        <v>1497.407586</v>
      </c>
      <c r="I14">
        <v>0</v>
      </c>
      <c r="J14" t="s">
        <v>21</v>
      </c>
      <c r="K14">
        <f>((parameters!$B$3/2)/inputs_df!E14)+((parameters!$B$3/2)/inputs_df!F14)</f>
        <v>14.727214517834581</v>
      </c>
      <c r="L14">
        <f t="shared" si="0"/>
        <v>22052.642739654835</v>
      </c>
    </row>
    <row r="15" spans="1:13" x14ac:dyDescent="0.3">
      <c r="A15">
        <v>14</v>
      </c>
      <c r="B15">
        <v>3250</v>
      </c>
      <c r="C15">
        <v>750</v>
      </c>
      <c r="D15">
        <v>79.580676999999994</v>
      </c>
      <c r="E15">
        <v>29.219421000000001</v>
      </c>
      <c r="F15">
        <v>20.453595</v>
      </c>
      <c r="G15">
        <v>4.6506025811000002</v>
      </c>
      <c r="H15">
        <v>1061.3078049999999</v>
      </c>
      <c r="I15">
        <v>0</v>
      </c>
      <c r="J15" t="s">
        <v>22</v>
      </c>
      <c r="K15">
        <f>((parameters!$B$3/2)/inputs_df!E15)+((parameters!$B$3/2)/inputs_df!F15)</f>
        <v>20.778743422209445</v>
      </c>
      <c r="L15">
        <f t="shared" si="0"/>
        <v>22052.642572083292</v>
      </c>
    </row>
    <row r="16" spans="1:13" x14ac:dyDescent="0.3">
      <c r="A16">
        <v>15</v>
      </c>
      <c r="B16">
        <v>250</v>
      </c>
      <c r="C16">
        <v>1250</v>
      </c>
      <c r="D16">
        <v>36.395783000000002</v>
      </c>
      <c r="E16">
        <v>41.502715999999999</v>
      </c>
      <c r="F16">
        <v>29.051901000000001</v>
      </c>
      <c r="G16">
        <v>3.0210477053</v>
      </c>
      <c r="H16">
        <v>1507.4616410000001</v>
      </c>
      <c r="I16">
        <v>0</v>
      </c>
      <c r="J16" t="s">
        <v>23</v>
      </c>
      <c r="K16">
        <f>((parameters!$B$3/2)/inputs_df!E16)+((parameters!$B$3/2)/inputs_df!F16)</f>
        <v>14.628991018359162</v>
      </c>
      <c r="L16">
        <f t="shared" si="0"/>
        <v>22052.642806709966</v>
      </c>
    </row>
    <row r="17" spans="1:12" x14ac:dyDescent="0.3">
      <c r="A17">
        <v>16</v>
      </c>
      <c r="B17">
        <v>750</v>
      </c>
      <c r="C17">
        <v>1250</v>
      </c>
      <c r="D17">
        <v>38.663573999999997</v>
      </c>
      <c r="E17">
        <v>42.203437000000001</v>
      </c>
      <c r="F17">
        <v>29.542406</v>
      </c>
      <c r="G17">
        <v>3.2634714134</v>
      </c>
      <c r="H17">
        <v>1532.913237</v>
      </c>
      <c r="I17">
        <v>0</v>
      </c>
      <c r="J17" t="s">
        <v>24</v>
      </c>
      <c r="K17">
        <f>((parameters!$B$3/2)/inputs_df!E17)+((parameters!$B$3/2)/inputs_df!F17)</f>
        <v>14.386099784573023</v>
      </c>
      <c r="L17">
        <f t="shared" si="0"/>
        <v>22052.642788574834</v>
      </c>
    </row>
    <row r="18" spans="1:12" x14ac:dyDescent="0.3">
      <c r="A18">
        <v>17</v>
      </c>
      <c r="B18">
        <v>1250</v>
      </c>
      <c r="C18">
        <v>1250</v>
      </c>
      <c r="D18">
        <v>42.203961999999997</v>
      </c>
      <c r="E18">
        <v>44.199213</v>
      </c>
      <c r="F18">
        <v>30.939449</v>
      </c>
      <c r="G18">
        <v>3.7307638492000001</v>
      </c>
      <c r="H18">
        <v>1605.4038129999999</v>
      </c>
      <c r="I18">
        <v>0</v>
      </c>
      <c r="J18" t="s">
        <v>25</v>
      </c>
      <c r="K18">
        <f>((parameters!$B$3/2)/inputs_df!E18)+((parameters!$B$3/2)/inputs_df!F18)</f>
        <v>13.736508346815715</v>
      </c>
      <c r="L18">
        <f t="shared" si="0"/>
        <v>22052.642877284274</v>
      </c>
    </row>
    <row r="19" spans="1:12" x14ac:dyDescent="0.3">
      <c r="A19">
        <v>18</v>
      </c>
      <c r="B19">
        <v>1750</v>
      </c>
      <c r="C19">
        <v>1250</v>
      </c>
      <c r="D19">
        <v>47.979016999999999</v>
      </c>
      <c r="E19">
        <v>46.630504000000002</v>
      </c>
      <c r="F19">
        <v>32.641353000000002</v>
      </c>
      <c r="G19">
        <v>4.4745714694999998</v>
      </c>
      <c r="H19">
        <v>1693.71316</v>
      </c>
      <c r="I19">
        <v>0</v>
      </c>
      <c r="J19" t="s">
        <v>26</v>
      </c>
      <c r="K19">
        <f>((parameters!$B$3/2)/inputs_df!E19)+((parameters!$B$3/2)/inputs_df!F19)</f>
        <v>13.020293646291545</v>
      </c>
      <c r="L19">
        <f t="shared" si="0"/>
        <v>22052.642695788374</v>
      </c>
    </row>
    <row r="20" spans="1:12" x14ac:dyDescent="0.3">
      <c r="A20">
        <v>19</v>
      </c>
      <c r="B20">
        <v>2250</v>
      </c>
      <c r="C20">
        <v>1250</v>
      </c>
      <c r="D20">
        <v>60.240561999999997</v>
      </c>
      <c r="E20">
        <v>44.914923999999999</v>
      </c>
      <c r="F20">
        <v>31.440446999999999</v>
      </c>
      <c r="G20">
        <v>5.4114005131000003</v>
      </c>
      <c r="H20">
        <v>1631.399872</v>
      </c>
      <c r="I20">
        <v>0</v>
      </c>
      <c r="J20" t="s">
        <v>27</v>
      </c>
      <c r="K20">
        <f>((parameters!$B$3/2)/inputs_df!E20)+((parameters!$B$3/2)/inputs_df!F20)</f>
        <v>13.517619552712331</v>
      </c>
      <c r="L20">
        <f t="shared" si="0"/>
        <v>22052.642808039593</v>
      </c>
    </row>
    <row r="21" spans="1:12" x14ac:dyDescent="0.3">
      <c r="A21">
        <v>20</v>
      </c>
      <c r="B21">
        <v>2750</v>
      </c>
      <c r="C21">
        <v>1250</v>
      </c>
      <c r="D21">
        <v>77.775721000000004</v>
      </c>
      <c r="E21">
        <v>35.351115999999998</v>
      </c>
      <c r="F21">
        <v>24.745781000000001</v>
      </c>
      <c r="G21">
        <v>5.4989170078000003</v>
      </c>
      <c r="H21">
        <v>1284.0232189999999</v>
      </c>
      <c r="I21">
        <v>0</v>
      </c>
      <c r="J21" t="s">
        <v>28</v>
      </c>
      <c r="K21">
        <f>((parameters!$B$3/2)/inputs_df!E21)+((parameters!$B$3/2)/inputs_df!F21)</f>
        <v>17.174644784321718</v>
      </c>
      <c r="L21">
        <f t="shared" si="0"/>
        <v>22052.642681146332</v>
      </c>
    </row>
    <row r="22" spans="1:12" x14ac:dyDescent="0.3">
      <c r="A22">
        <v>21</v>
      </c>
      <c r="B22">
        <v>3250</v>
      </c>
      <c r="C22">
        <v>1250</v>
      </c>
      <c r="D22">
        <v>90.900192000000004</v>
      </c>
      <c r="E22">
        <v>24.737054000000001</v>
      </c>
      <c r="F22">
        <v>17.315937999999999</v>
      </c>
      <c r="G22">
        <v>4.4972059872000001</v>
      </c>
      <c r="H22">
        <v>898.49928999999997</v>
      </c>
      <c r="I22">
        <v>0</v>
      </c>
      <c r="J22" t="s">
        <v>29</v>
      </c>
      <c r="K22">
        <f>((parameters!$B$3/2)/inputs_df!E22)+((parameters!$B$3/2)/inputs_df!F22)</f>
        <v>24.543862539890085</v>
      </c>
      <c r="L22">
        <f t="shared" si="0"/>
        <v>22052.643065948836</v>
      </c>
    </row>
    <row r="23" spans="1:12" x14ac:dyDescent="0.3">
      <c r="A23">
        <v>22</v>
      </c>
      <c r="B23">
        <v>250</v>
      </c>
      <c r="C23">
        <v>1750</v>
      </c>
      <c r="D23">
        <v>20</v>
      </c>
      <c r="E23">
        <v>34.234769</v>
      </c>
      <c r="F23">
        <v>23.964338000000001</v>
      </c>
      <c r="G23">
        <v>1.3693907424</v>
      </c>
      <c r="H23">
        <v>1243.4752639999999</v>
      </c>
      <c r="I23">
        <v>0</v>
      </c>
      <c r="J23" t="s">
        <v>30</v>
      </c>
      <c r="K23">
        <f>((parameters!$B$3/2)/inputs_df!E23)+((parameters!$B$3/2)/inputs_df!F23)</f>
        <v>17.734685506824547</v>
      </c>
      <c r="L23">
        <f t="shared" si="0"/>
        <v>22052.642742555625</v>
      </c>
    </row>
    <row r="24" spans="1:12" x14ac:dyDescent="0.3">
      <c r="A24">
        <v>23</v>
      </c>
      <c r="B24">
        <v>750</v>
      </c>
      <c r="C24">
        <v>1750</v>
      </c>
      <c r="D24">
        <v>24.211594000000002</v>
      </c>
      <c r="E24">
        <v>33.660587</v>
      </c>
      <c r="F24">
        <v>23.562411000000001</v>
      </c>
      <c r="G24">
        <v>1.6299528962000001</v>
      </c>
      <c r="H24">
        <v>1222.619837</v>
      </c>
      <c r="I24">
        <v>0</v>
      </c>
      <c r="J24" t="s">
        <v>31</v>
      </c>
      <c r="K24">
        <f>((parameters!$B$3/2)/inputs_df!E24)+((parameters!$B$3/2)/inputs_df!F24)</f>
        <v>18.037203439949685</v>
      </c>
      <c r="L24">
        <f t="shared" si="0"/>
        <v>22052.642729687122</v>
      </c>
    </row>
    <row r="25" spans="1:12" x14ac:dyDescent="0.3">
      <c r="A25">
        <v>24</v>
      </c>
      <c r="B25">
        <v>1250</v>
      </c>
      <c r="C25">
        <v>1750</v>
      </c>
      <c r="D25">
        <v>32.043427000000001</v>
      </c>
      <c r="E25">
        <v>34.516703</v>
      </c>
      <c r="F25">
        <v>24.161691999999999</v>
      </c>
      <c r="G25">
        <v>2.2120668657999998</v>
      </c>
      <c r="H25">
        <v>1253.7156829999999</v>
      </c>
      <c r="I25">
        <v>0</v>
      </c>
      <c r="J25" t="s">
        <v>32</v>
      </c>
      <c r="K25">
        <f>((parameters!$B$3/2)/inputs_df!E25)+((parameters!$B$3/2)/inputs_df!F25)</f>
        <v>17.589827702286453</v>
      </c>
      <c r="L25">
        <f t="shared" si="0"/>
        <v>22052.64285162438</v>
      </c>
    </row>
    <row r="26" spans="1:12" x14ac:dyDescent="0.3">
      <c r="A26">
        <v>25</v>
      </c>
      <c r="B26">
        <v>1750</v>
      </c>
      <c r="C26">
        <v>1750</v>
      </c>
      <c r="D26">
        <v>43.975813000000002</v>
      </c>
      <c r="E26">
        <v>36.624716999999997</v>
      </c>
      <c r="F26">
        <v>25.637301999999998</v>
      </c>
      <c r="G26">
        <v>3.2212034053999998</v>
      </c>
      <c r="H26">
        <v>1330.2829549999999</v>
      </c>
      <c r="I26">
        <v>0</v>
      </c>
      <c r="J26" t="s">
        <v>33</v>
      </c>
      <c r="K26">
        <f>((parameters!$B$3/2)/inputs_df!E26)+((parameters!$B$3/2)/inputs_df!F26)</f>
        <v>16.577407430883298</v>
      </c>
      <c r="L26">
        <f t="shared" si="0"/>
        <v>22052.642543394391</v>
      </c>
    </row>
    <row r="27" spans="1:12" x14ac:dyDescent="0.3">
      <c r="A27">
        <v>26</v>
      </c>
      <c r="B27">
        <v>2250</v>
      </c>
      <c r="C27">
        <v>1750</v>
      </c>
      <c r="D27">
        <v>62.427236000000001</v>
      </c>
      <c r="E27">
        <v>35.950178999999999</v>
      </c>
      <c r="F27">
        <v>25.165125</v>
      </c>
      <c r="G27">
        <v>4.4885406015999996</v>
      </c>
      <c r="H27">
        <v>1305.782406</v>
      </c>
      <c r="I27">
        <v>0</v>
      </c>
      <c r="J27" t="s">
        <v>34</v>
      </c>
      <c r="K27">
        <f>((parameters!$B$3/2)/inputs_df!E27)+((parameters!$B$3/2)/inputs_df!F27)</f>
        <v>16.888451693118135</v>
      </c>
      <c r="L27">
        <f t="shared" si="0"/>
        <v>22052.643085454572</v>
      </c>
    </row>
    <row r="28" spans="1:12" x14ac:dyDescent="0.3">
      <c r="A28">
        <v>27</v>
      </c>
      <c r="B28">
        <v>2750</v>
      </c>
      <c r="C28">
        <v>1750</v>
      </c>
      <c r="D28">
        <v>84.468768999999995</v>
      </c>
      <c r="E28">
        <v>28.909192000000001</v>
      </c>
      <c r="F28">
        <v>20.236433999999999</v>
      </c>
      <c r="G28">
        <v>4.8838477148999999</v>
      </c>
      <c r="H28">
        <v>1050.039671</v>
      </c>
      <c r="I28">
        <v>0</v>
      </c>
      <c r="J28" t="s">
        <v>35</v>
      </c>
      <c r="K28">
        <f>((parameters!$B$3/2)/inputs_df!E28)+((parameters!$B$3/2)/inputs_df!F28)</f>
        <v>21.00172374939639</v>
      </c>
      <c r="L28">
        <f t="shared" si="0"/>
        <v>22052.643096249074</v>
      </c>
    </row>
    <row r="29" spans="1:12" x14ac:dyDescent="0.3">
      <c r="A29">
        <v>28</v>
      </c>
      <c r="B29">
        <v>3250</v>
      </c>
      <c r="C29">
        <v>1750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 t="s">
        <v>10</v>
      </c>
      <c r="K29">
        <v>0</v>
      </c>
      <c r="L29">
        <f t="shared" si="0"/>
        <v>0</v>
      </c>
    </row>
    <row r="30" spans="1:12" x14ac:dyDescent="0.3">
      <c r="A30">
        <v>29</v>
      </c>
      <c r="B30">
        <v>250</v>
      </c>
      <c r="C30">
        <v>2250</v>
      </c>
      <c r="D30">
        <v>30.445239000000001</v>
      </c>
      <c r="E30">
        <v>29.698263000000001</v>
      </c>
      <c r="F30">
        <v>20.788784</v>
      </c>
      <c r="G30">
        <v>1.8083413989999999</v>
      </c>
      <c r="H30">
        <v>1078.7003</v>
      </c>
      <c r="I30">
        <v>0</v>
      </c>
      <c r="J30" t="s">
        <v>36</v>
      </c>
      <c r="K30">
        <f>((parameters!$B$3/2)/inputs_df!E30)+((parameters!$B$3/2)/inputs_df!F30)</f>
        <v>20.443716148005574</v>
      </c>
      <c r="L30">
        <f t="shared" si="0"/>
        <v>22052.642741968455</v>
      </c>
    </row>
    <row r="31" spans="1:12" x14ac:dyDescent="0.3">
      <c r="A31">
        <v>30</v>
      </c>
      <c r="B31">
        <v>750</v>
      </c>
      <c r="C31">
        <v>2250</v>
      </c>
      <c r="D31">
        <v>32.588704999999997</v>
      </c>
      <c r="E31">
        <v>27.162126000000001</v>
      </c>
      <c r="F31">
        <v>19.013489</v>
      </c>
      <c r="G31">
        <v>1.7703570283000001</v>
      </c>
      <c r="H31">
        <v>986.58275700000002</v>
      </c>
      <c r="I31">
        <v>0</v>
      </c>
      <c r="J31" t="s">
        <v>37</v>
      </c>
      <c r="K31">
        <f>((parameters!$B$3/2)/inputs_df!E31)+((parameters!$B$3/2)/inputs_df!F31)</f>
        <v>22.352552304482039</v>
      </c>
      <c r="L31">
        <f t="shared" si="0"/>
        <v>22052.642678542594</v>
      </c>
    </row>
    <row r="32" spans="1:12" x14ac:dyDescent="0.3">
      <c r="A32">
        <v>31</v>
      </c>
      <c r="B32">
        <v>1250</v>
      </c>
      <c r="C32">
        <v>2250</v>
      </c>
      <c r="D32">
        <v>38.973323000000001</v>
      </c>
      <c r="E32">
        <v>26.310673000000001</v>
      </c>
      <c r="F32">
        <v>18.417470999999999</v>
      </c>
      <c r="G32">
        <v>2.0508287376999998</v>
      </c>
      <c r="H32">
        <v>955.65627199999994</v>
      </c>
      <c r="I32">
        <v>0</v>
      </c>
      <c r="J32" t="s">
        <v>38</v>
      </c>
      <c r="K32">
        <f>((parameters!$B$3/2)/inputs_df!E32)+((parameters!$B$3/2)/inputs_df!F32)</f>
        <v>23.075915203005628</v>
      </c>
      <c r="L32">
        <f t="shared" si="0"/>
        <v>22052.643095892479</v>
      </c>
    </row>
    <row r="33" spans="1:12" x14ac:dyDescent="0.3">
      <c r="A33">
        <v>32</v>
      </c>
      <c r="B33">
        <v>1750</v>
      </c>
      <c r="C33">
        <v>2250</v>
      </c>
      <c r="D33">
        <v>50.451376000000003</v>
      </c>
      <c r="E33">
        <v>28.208293999999999</v>
      </c>
      <c r="F33">
        <v>19.745806000000002</v>
      </c>
      <c r="G33">
        <v>2.8462945091999998</v>
      </c>
      <c r="H33">
        <v>1024.581655</v>
      </c>
      <c r="I33">
        <v>0</v>
      </c>
      <c r="J33" t="s">
        <v>39</v>
      </c>
      <c r="K33">
        <f>((parameters!$B$3/2)/inputs_df!E33)+((parameters!$B$3/2)/inputs_df!F33)</f>
        <v>21.523558054430815</v>
      </c>
      <c r="L33">
        <f t="shared" si="0"/>
        <v>22052.642732897304</v>
      </c>
    </row>
    <row r="34" spans="1:12" x14ac:dyDescent="0.3">
      <c r="A34">
        <v>33</v>
      </c>
      <c r="B34">
        <v>2250</v>
      </c>
      <c r="C34">
        <v>2250</v>
      </c>
      <c r="D34">
        <v>66.744260999999995</v>
      </c>
      <c r="E34">
        <v>29.21865</v>
      </c>
      <c r="F34">
        <v>20.453054999999999</v>
      </c>
      <c r="G34">
        <v>3.9003544190000001</v>
      </c>
      <c r="H34">
        <v>1061.279812</v>
      </c>
      <c r="I34">
        <v>0</v>
      </c>
      <c r="J34" t="s">
        <v>40</v>
      </c>
      <c r="K34">
        <f>((parameters!$B$3/2)/inputs_df!E34)+((parameters!$B$3/2)/inputs_df!F34)</f>
        <v>20.7792918955139</v>
      </c>
      <c r="L34">
        <f t="shared" si="0"/>
        <v>22052.642996364117</v>
      </c>
    </row>
    <row r="35" spans="1:12" x14ac:dyDescent="0.3">
      <c r="A35">
        <v>34</v>
      </c>
      <c r="B35">
        <v>2750</v>
      </c>
      <c r="C35">
        <v>2250</v>
      </c>
      <c r="D35">
        <v>84.308301999999998</v>
      </c>
      <c r="E35">
        <v>25.803867</v>
      </c>
      <c r="F35">
        <v>18.062707</v>
      </c>
      <c r="G35">
        <v>4.3509604374000004</v>
      </c>
      <c r="H35">
        <v>937.248064</v>
      </c>
      <c r="I35">
        <v>0</v>
      </c>
      <c r="J35" t="s">
        <v>41</v>
      </c>
      <c r="K35">
        <f>((parameters!$B$3/2)/inputs_df!E35)+((parameters!$B$3/2)/inputs_df!F35)</f>
        <v>23.529142169490267</v>
      </c>
      <c r="L35">
        <f t="shared" si="0"/>
        <v>22052.642945935513</v>
      </c>
    </row>
    <row r="36" spans="1:12" x14ac:dyDescent="0.3">
      <c r="A36">
        <v>35</v>
      </c>
      <c r="B36">
        <v>3250</v>
      </c>
      <c r="C36">
        <v>2250</v>
      </c>
      <c r="D36">
        <v>96.327950999999999</v>
      </c>
      <c r="E36">
        <v>21.045577000000002</v>
      </c>
      <c r="F36">
        <v>14.731904</v>
      </c>
      <c r="G36">
        <v>4.0545546836000002</v>
      </c>
      <c r="H36">
        <v>764.417463</v>
      </c>
      <c r="I36">
        <v>1</v>
      </c>
      <c r="J36" t="s">
        <v>42</v>
      </c>
      <c r="K36">
        <f>((parameters!$B$3/2)/inputs_df!E36)+((parameters!$B$3/2)/inputs_df!F36)</f>
        <v>28.848952666803832</v>
      </c>
      <c r="L36">
        <f t="shared" si="0"/>
        <v>22052.643207765268</v>
      </c>
    </row>
    <row r="37" spans="1:12" x14ac:dyDescent="0.3">
      <c r="A37">
        <v>36</v>
      </c>
      <c r="B37">
        <v>250</v>
      </c>
      <c r="C37">
        <v>2750</v>
      </c>
      <c r="D37">
        <v>63.015692999999999</v>
      </c>
      <c r="E37">
        <v>31.559328000000001</v>
      </c>
      <c r="F37">
        <v>22.091529999999999</v>
      </c>
      <c r="G37">
        <v>3.9774658371</v>
      </c>
      <c r="H37">
        <v>1146.297908</v>
      </c>
      <c r="I37">
        <v>0</v>
      </c>
      <c r="J37" t="s">
        <v>43</v>
      </c>
      <c r="K37">
        <f>((parameters!$B$3/2)/inputs_df!E37)+((parameters!$B$3/2)/inputs_df!F37)</f>
        <v>19.238142544614849</v>
      </c>
      <c r="L37">
        <f t="shared" si="0"/>
        <v>22052.642552697798</v>
      </c>
    </row>
    <row r="38" spans="1:12" x14ac:dyDescent="0.3">
      <c r="A38">
        <v>37</v>
      </c>
      <c r="B38">
        <v>750</v>
      </c>
      <c r="C38">
        <v>2750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 t="s">
        <v>10</v>
      </c>
      <c r="K38">
        <v>0</v>
      </c>
      <c r="L38">
        <f t="shared" si="0"/>
        <v>0</v>
      </c>
    </row>
    <row r="39" spans="1:12" x14ac:dyDescent="0.3">
      <c r="A39">
        <v>38</v>
      </c>
      <c r="B39">
        <v>1250</v>
      </c>
      <c r="C39">
        <v>2750</v>
      </c>
      <c r="D39">
        <v>60.121146000000003</v>
      </c>
      <c r="E39">
        <v>22.913288999999999</v>
      </c>
      <c r="F39">
        <v>16.039301999999999</v>
      </c>
      <c r="G39">
        <v>2.7551463576000002</v>
      </c>
      <c r="H39">
        <v>832.25647400000003</v>
      </c>
      <c r="I39">
        <v>1</v>
      </c>
      <c r="J39" t="s">
        <v>44</v>
      </c>
      <c r="K39">
        <f>((parameters!$B$3/2)/inputs_df!E39)+((parameters!$B$3/2)/inputs_df!F39)</f>
        <v>26.497412214496009</v>
      </c>
      <c r="L39">
        <f t="shared" si="0"/>
        <v>22052.642859760981</v>
      </c>
    </row>
    <row r="40" spans="1:12" x14ac:dyDescent="0.3">
      <c r="A40">
        <v>39</v>
      </c>
      <c r="B40">
        <v>1750</v>
      </c>
      <c r="C40">
        <v>2750</v>
      </c>
      <c r="D40">
        <v>65.812527000000003</v>
      </c>
      <c r="E40">
        <v>24.532008999999999</v>
      </c>
      <c r="F40">
        <v>17.172405999999999</v>
      </c>
      <c r="G40">
        <v>3.2290270116999999</v>
      </c>
      <c r="H40">
        <v>891.05163600000003</v>
      </c>
      <c r="I40">
        <v>0</v>
      </c>
      <c r="J40" t="s">
        <v>45</v>
      </c>
      <c r="K40">
        <f>((parameters!$B$3/2)/inputs_df!E40)+((parameters!$B$3/2)/inputs_df!F40)</f>
        <v>24.749007037381354</v>
      </c>
      <c r="L40">
        <f t="shared" si="0"/>
        <v>22052.64321003417</v>
      </c>
    </row>
    <row r="41" spans="1:12" x14ac:dyDescent="0.3">
      <c r="A41">
        <v>40</v>
      </c>
      <c r="B41">
        <v>2250</v>
      </c>
      <c r="C41">
        <v>2750</v>
      </c>
      <c r="D41">
        <v>73.229146</v>
      </c>
      <c r="E41">
        <v>27.656858</v>
      </c>
      <c r="F41">
        <v>19.3598</v>
      </c>
      <c r="G41">
        <v>4.0505761564</v>
      </c>
      <c r="H41">
        <v>1004.552384</v>
      </c>
      <c r="I41">
        <v>0</v>
      </c>
      <c r="J41" t="s">
        <v>46</v>
      </c>
      <c r="K41">
        <f>((parameters!$B$3/2)/inputs_df!E41)+((parameters!$B$3/2)/inputs_df!F41)</f>
        <v>21.95270584284912</v>
      </c>
      <c r="L41">
        <f t="shared" si="0"/>
        <v>22052.642989684813</v>
      </c>
    </row>
    <row r="42" spans="1:12" x14ac:dyDescent="0.3">
      <c r="A42">
        <v>41</v>
      </c>
      <c r="B42">
        <v>2750</v>
      </c>
      <c r="C42">
        <v>2750</v>
      </c>
      <c r="D42">
        <v>78.875764000000004</v>
      </c>
      <c r="E42">
        <v>28.389082999999999</v>
      </c>
      <c r="F42">
        <v>19.872357999999998</v>
      </c>
      <c r="G42">
        <v>4.4784211726000001</v>
      </c>
      <c r="H42">
        <v>1031.148265</v>
      </c>
      <c r="I42">
        <v>0</v>
      </c>
      <c r="J42" t="s">
        <v>47</v>
      </c>
      <c r="K42">
        <f>((parameters!$B$3/2)/inputs_df!E42)+((parameters!$B$3/2)/inputs_df!F42)</f>
        <v>21.38649067812586</v>
      </c>
      <c r="L42">
        <f t="shared" si="0"/>
        <v>22052.642757188154</v>
      </c>
    </row>
    <row r="43" spans="1:12" x14ac:dyDescent="0.3">
      <c r="A43">
        <v>42</v>
      </c>
      <c r="B43">
        <v>3250</v>
      </c>
      <c r="C43">
        <v>2750</v>
      </c>
      <c r="D43">
        <v>82.231218999999996</v>
      </c>
      <c r="E43">
        <v>27.471574</v>
      </c>
      <c r="F43">
        <v>19.230101999999999</v>
      </c>
      <c r="G43">
        <v>4.5180419782000003</v>
      </c>
      <c r="H43">
        <v>997.82249899999999</v>
      </c>
      <c r="I43">
        <v>0</v>
      </c>
      <c r="J43" t="s">
        <v>48</v>
      </c>
      <c r="K43">
        <f>((parameters!$B$3/2)/inputs_df!E43)+((parameters!$B$3/2)/inputs_df!F43)</f>
        <v>22.100766902851745</v>
      </c>
      <c r="L43">
        <f t="shared" si="0"/>
        <v>22052.642460820018</v>
      </c>
    </row>
    <row r="44" spans="1:12" x14ac:dyDescent="0.3">
      <c r="A44">
        <v>43</v>
      </c>
      <c r="B44">
        <v>250</v>
      </c>
      <c r="C44">
        <v>3250</v>
      </c>
      <c r="D44">
        <v>92.298152000000002</v>
      </c>
      <c r="E44">
        <v>36.916722999999998</v>
      </c>
      <c r="F44">
        <v>25.841705999999999</v>
      </c>
      <c r="G44">
        <v>6.8146906603000001</v>
      </c>
      <c r="H44">
        <v>1340.8892249999999</v>
      </c>
      <c r="I44">
        <v>0</v>
      </c>
      <c r="J44" t="s">
        <v>49</v>
      </c>
      <c r="K44">
        <f>((parameters!$B$3/2)/inputs_df!E44)+((parameters!$B$3/2)/inputs_df!F44)</f>
        <v>16.446282583773694</v>
      </c>
      <c r="L44">
        <f t="shared" si="0"/>
        <v>22052.643107887307</v>
      </c>
    </row>
    <row r="45" spans="1:12" x14ac:dyDescent="0.3">
      <c r="A45">
        <v>44</v>
      </c>
      <c r="B45">
        <v>750</v>
      </c>
      <c r="C45">
        <v>3250</v>
      </c>
      <c r="D45">
        <v>84.743243000000007</v>
      </c>
      <c r="E45">
        <v>29.186805</v>
      </c>
      <c r="F45">
        <v>20.430762999999999</v>
      </c>
      <c r="G45">
        <v>4.9467689645000004</v>
      </c>
      <c r="H45">
        <v>1060.123124</v>
      </c>
      <c r="I45">
        <v>0</v>
      </c>
      <c r="J45" t="s">
        <v>50</v>
      </c>
      <c r="K45">
        <f>((parameters!$B$3/2)/inputs_df!E45)+((parameters!$B$3/2)/inputs_df!F45)</f>
        <v>20.801963965674837</v>
      </c>
      <c r="L45">
        <f t="shared" si="0"/>
        <v>22052.643024626635</v>
      </c>
    </row>
    <row r="46" spans="1:12" x14ac:dyDescent="0.3">
      <c r="A46">
        <v>45</v>
      </c>
      <c r="B46">
        <v>1250</v>
      </c>
      <c r="C46">
        <v>3250</v>
      </c>
      <c r="D46">
        <v>79.774282999999997</v>
      </c>
      <c r="E46">
        <v>23.462029000000001</v>
      </c>
      <c r="F46">
        <v>16.42342</v>
      </c>
      <c r="G46">
        <v>3.7433330193000001</v>
      </c>
      <c r="H46">
        <v>852.18780400000003</v>
      </c>
      <c r="I46">
        <v>0</v>
      </c>
      <c r="J46" t="s">
        <v>51</v>
      </c>
      <c r="K46">
        <f>((parameters!$B$3/2)/inputs_df!E46)+((parameters!$B$3/2)/inputs_df!F46)</f>
        <v>25.877679362967367</v>
      </c>
      <c r="L46">
        <f t="shared" si="0"/>
        <v>22052.642748943279</v>
      </c>
    </row>
    <row r="47" spans="1:12" x14ac:dyDescent="0.3">
      <c r="A47">
        <v>46</v>
      </c>
      <c r="B47">
        <v>1750</v>
      </c>
      <c r="C47">
        <v>3250</v>
      </c>
      <c r="D47">
        <v>80.194174000000004</v>
      </c>
      <c r="E47">
        <v>24.531023000000001</v>
      </c>
      <c r="F47">
        <v>17.171716</v>
      </c>
      <c r="G47">
        <v>3.9344902587999999</v>
      </c>
      <c r="H47">
        <v>891.01581699999997</v>
      </c>
      <c r="I47">
        <v>0</v>
      </c>
      <c r="J47" t="s">
        <v>52</v>
      </c>
      <c r="K47">
        <f>((parameters!$B$3/2)/inputs_df!E47)+((parameters!$B$3/2)/inputs_df!F47)</f>
        <v>24.750001629475022</v>
      </c>
      <c r="L47">
        <f t="shared" si="0"/>
        <v>22052.642922638017</v>
      </c>
    </row>
    <row r="48" spans="1:12" x14ac:dyDescent="0.3">
      <c r="A48">
        <v>47</v>
      </c>
      <c r="B48">
        <v>2250</v>
      </c>
      <c r="C48">
        <v>3250</v>
      </c>
      <c r="D48">
        <v>79.677203000000006</v>
      </c>
      <c r="E48">
        <v>29.048556000000001</v>
      </c>
      <c r="F48">
        <v>20.333988999999999</v>
      </c>
      <c r="G48">
        <v>4.6290154379999997</v>
      </c>
      <c r="H48">
        <v>1055.1016589999999</v>
      </c>
      <c r="I48">
        <v>0</v>
      </c>
      <c r="J48" t="s">
        <v>53</v>
      </c>
      <c r="K48">
        <f>((parameters!$B$3/2)/inputs_df!E48)+((parameters!$B$3/2)/inputs_df!F48)</f>
        <v>20.900965289139485</v>
      </c>
      <c r="L48">
        <f t="shared" si="0"/>
        <v>22052.643151272485</v>
      </c>
    </row>
    <row r="49" spans="1:12" x14ac:dyDescent="0.3">
      <c r="A49">
        <v>48</v>
      </c>
      <c r="B49">
        <v>2750</v>
      </c>
      <c r="C49">
        <v>3250</v>
      </c>
      <c r="D49">
        <v>74.919167999999999</v>
      </c>
      <c r="E49">
        <v>32.646121000000001</v>
      </c>
      <c r="F49">
        <v>22.852284000000001</v>
      </c>
      <c r="G49">
        <v>4.8916403946999996</v>
      </c>
      <c r="H49">
        <v>1185.772391</v>
      </c>
      <c r="I49">
        <v>0</v>
      </c>
      <c r="J49" t="s">
        <v>54</v>
      </c>
      <c r="K49">
        <f>((parameters!$B$3/2)/inputs_df!E49)+((parameters!$B$3/2)/inputs_df!F49)</f>
        <v>18.597703172229334</v>
      </c>
      <c r="L49">
        <f t="shared" si="0"/>
        <v>22052.64295764266</v>
      </c>
    </row>
    <row r="50" spans="1:12" x14ac:dyDescent="0.3">
      <c r="A50">
        <v>49</v>
      </c>
      <c r="B50">
        <v>3250</v>
      </c>
      <c r="C50">
        <v>3250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 t="s">
        <v>10</v>
      </c>
      <c r="K50">
        <v>0</v>
      </c>
      <c r="L50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D2" sqref="D2"/>
    </sheetView>
  </sheetViews>
  <sheetFormatPr defaultRowHeight="14.4" x14ac:dyDescent="0.3"/>
  <sheetData>
    <row r="1" spans="1:6" x14ac:dyDescent="0.3">
      <c r="A1" s="1" t="s">
        <v>55</v>
      </c>
      <c r="B1" s="1" t="s">
        <v>1</v>
      </c>
      <c r="C1" s="1" t="s">
        <v>2</v>
      </c>
      <c r="D1" s="1" t="s">
        <v>56</v>
      </c>
      <c r="E1" s="1" t="s">
        <v>57</v>
      </c>
      <c r="F1" s="1" t="s">
        <v>58</v>
      </c>
    </row>
    <row r="2" spans="1:6" x14ac:dyDescent="0.3">
      <c r="A2" t="s">
        <v>59</v>
      </c>
      <c r="B2">
        <v>4</v>
      </c>
      <c r="C2">
        <v>0</v>
      </c>
      <c r="D2">
        <v>25</v>
      </c>
      <c r="E2">
        <v>0</v>
      </c>
      <c r="F2">
        <v>0</v>
      </c>
    </row>
    <row r="3" spans="1:6" x14ac:dyDescent="0.3">
      <c r="A3" t="s">
        <v>60</v>
      </c>
      <c r="B3">
        <v>2</v>
      </c>
      <c r="C3">
        <v>1</v>
      </c>
      <c r="D3">
        <v>0</v>
      </c>
      <c r="E3">
        <v>25</v>
      </c>
      <c r="F3">
        <v>25</v>
      </c>
    </row>
    <row r="4" spans="1:6" x14ac:dyDescent="0.3">
      <c r="A4" t="s">
        <v>61</v>
      </c>
      <c r="B4">
        <v>0</v>
      </c>
      <c r="C4">
        <v>3</v>
      </c>
      <c r="D4">
        <v>0</v>
      </c>
      <c r="E4">
        <v>25</v>
      </c>
      <c r="F4">
        <v>25</v>
      </c>
    </row>
    <row r="5" spans="1:6" x14ac:dyDescent="0.3">
      <c r="A5" t="s">
        <v>62</v>
      </c>
      <c r="B5">
        <v>4</v>
      </c>
      <c r="C5">
        <v>4</v>
      </c>
      <c r="D5">
        <v>0</v>
      </c>
      <c r="E5">
        <v>25</v>
      </c>
      <c r="F5">
        <v>25</v>
      </c>
    </row>
    <row r="6" spans="1:6" x14ac:dyDescent="0.3">
      <c r="A6" t="s">
        <v>63</v>
      </c>
      <c r="B6">
        <v>6</v>
      </c>
      <c r="C6">
        <v>4</v>
      </c>
      <c r="D6">
        <v>0</v>
      </c>
      <c r="E6">
        <v>25</v>
      </c>
      <c r="F6">
        <v>25</v>
      </c>
    </row>
    <row r="7" spans="1:6" x14ac:dyDescent="0.3">
      <c r="A7" t="s">
        <v>64</v>
      </c>
      <c r="B7">
        <v>2</v>
      </c>
      <c r="C7">
        <v>5</v>
      </c>
      <c r="D7">
        <v>0</v>
      </c>
      <c r="E7">
        <v>25</v>
      </c>
      <c r="F7">
        <v>25</v>
      </c>
    </row>
    <row r="8" spans="1:6" x14ac:dyDescent="0.3">
      <c r="A8" t="s">
        <v>65</v>
      </c>
      <c r="B8">
        <v>0</v>
      </c>
      <c r="C8">
        <v>6</v>
      </c>
      <c r="D8">
        <v>0</v>
      </c>
      <c r="E8">
        <v>25</v>
      </c>
      <c r="F8">
        <v>25</v>
      </c>
    </row>
    <row r="9" spans="1:6" x14ac:dyDescent="0.3">
      <c r="A9" t="s">
        <v>66</v>
      </c>
      <c r="B9">
        <v>5</v>
      </c>
      <c r="C9">
        <v>6</v>
      </c>
      <c r="D9">
        <v>0</v>
      </c>
      <c r="E9">
        <v>25</v>
      </c>
      <c r="F9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7" sqref="B17"/>
    </sheetView>
  </sheetViews>
  <sheetFormatPr defaultRowHeight="14.4" x14ac:dyDescent="0.3"/>
  <sheetData>
    <row r="1" spans="1:3" x14ac:dyDescent="0.3">
      <c r="A1" s="1" t="s">
        <v>67</v>
      </c>
      <c r="B1" s="1" t="s">
        <v>68</v>
      </c>
      <c r="C1" s="1" t="s">
        <v>69</v>
      </c>
    </row>
    <row r="2" spans="1:3" x14ac:dyDescent="0.3">
      <c r="A2" t="s">
        <v>70</v>
      </c>
      <c r="B2">
        <v>49</v>
      </c>
      <c r="C2" t="s">
        <v>71</v>
      </c>
    </row>
    <row r="3" spans="1:3" x14ac:dyDescent="0.3">
      <c r="A3" t="s">
        <v>72</v>
      </c>
      <c r="B3">
        <v>500</v>
      </c>
      <c r="C3" t="s">
        <v>73</v>
      </c>
    </row>
    <row r="4" spans="1:3" x14ac:dyDescent="0.3">
      <c r="A4" t="s">
        <v>74</v>
      </c>
      <c r="B4">
        <v>3500</v>
      </c>
      <c r="C4" t="s">
        <v>75</v>
      </c>
    </row>
    <row r="5" spans="1:3" x14ac:dyDescent="0.3">
      <c r="A5" t="s">
        <v>76</v>
      </c>
      <c r="B5">
        <v>250000</v>
      </c>
      <c r="C5" t="s">
        <v>77</v>
      </c>
    </row>
    <row r="6" spans="1:3" x14ac:dyDescent="0.3">
      <c r="A6" t="s">
        <v>78</v>
      </c>
      <c r="B6">
        <v>24</v>
      </c>
      <c r="C6" t="s">
        <v>79</v>
      </c>
    </row>
    <row r="7" spans="1:3" x14ac:dyDescent="0.3">
      <c r="A7" t="s">
        <v>80</v>
      </c>
      <c r="B7">
        <v>36322</v>
      </c>
      <c r="C7" t="s">
        <v>81</v>
      </c>
    </row>
    <row r="8" spans="1:3" x14ac:dyDescent="0.3">
      <c r="A8" t="s">
        <v>82</v>
      </c>
      <c r="B8">
        <v>3.6322E-2</v>
      </c>
      <c r="C8" t="s">
        <v>83</v>
      </c>
    </row>
    <row r="9" spans="1:3" x14ac:dyDescent="0.3">
      <c r="A9" t="s">
        <v>84</v>
      </c>
      <c r="B9">
        <v>9080.5</v>
      </c>
      <c r="C9" t="s">
        <v>83</v>
      </c>
    </row>
    <row r="10" spans="1:3" x14ac:dyDescent="0.3">
      <c r="A10" t="s">
        <v>85</v>
      </c>
      <c r="B10" t="s">
        <v>86</v>
      </c>
      <c r="C10" t="s">
        <v>87</v>
      </c>
    </row>
    <row r="11" spans="1:3" x14ac:dyDescent="0.3">
      <c r="A11" t="s">
        <v>88</v>
      </c>
      <c r="B11">
        <v>166.67</v>
      </c>
    </row>
    <row r="12" spans="1:3" x14ac:dyDescent="0.3">
      <c r="A12" t="s">
        <v>89</v>
      </c>
      <c r="B12">
        <v>2000</v>
      </c>
    </row>
    <row r="13" spans="1:3" x14ac:dyDescent="0.3">
      <c r="A13" t="s">
        <v>90</v>
      </c>
      <c r="B13">
        <v>117.65</v>
      </c>
    </row>
    <row r="14" spans="1:3" x14ac:dyDescent="0.3">
      <c r="A14" t="s">
        <v>91</v>
      </c>
      <c r="B14">
        <v>500</v>
      </c>
    </row>
    <row r="15" spans="1:3" x14ac:dyDescent="0.3">
      <c r="A15" t="s">
        <v>92</v>
      </c>
      <c r="B15">
        <v>15</v>
      </c>
    </row>
    <row r="16" spans="1:3" x14ac:dyDescent="0.3">
      <c r="A16" t="s">
        <v>93</v>
      </c>
      <c r="B16">
        <v>1000</v>
      </c>
    </row>
    <row r="17" spans="1:2" x14ac:dyDescent="0.3">
      <c r="A17" t="s">
        <v>96</v>
      </c>
      <c r="B17">
        <f>329.3065+MAX(inputs_df!K2:K50)</f>
        <v>358.15545266680385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2026-02-25T05:18:11Z</dcterms:created>
  <dcterms:modified xsi:type="dcterms:W3CDTF">2026-04-18T17:41:00Z</dcterms:modified>
</cp:coreProperties>
</file>
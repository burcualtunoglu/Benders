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urcualtunoglu/Logicbbd/inputs/"/>
    </mc:Choice>
  </mc:AlternateContent>
  <xr:revisionPtr revIDLastSave="0" documentId="13_ncr:1_{2E47C2F3-5E3E-8546-88A2-17977DC92C7B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3" i="1"/>
  <c r="L1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K4" i="1"/>
  <c r="K5" i="1"/>
  <c r="K6" i="1"/>
  <c r="K7" i="1"/>
  <c r="K8" i="1"/>
  <c r="K9" i="1"/>
  <c r="K10" i="1"/>
  <c r="K11" i="1"/>
  <c r="K12" i="1"/>
  <c r="K14" i="1"/>
  <c r="K15" i="1"/>
  <c r="K17" i="1"/>
</calcChain>
</file>

<file path=xl/sharedStrings.xml><?xml version="1.0" encoding="utf-8"?>
<sst xmlns="http://schemas.openxmlformats.org/spreadsheetml/2006/main" count="69" uniqueCount="61">
  <si>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</si>
  <si>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</si>
  <si>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</si>
  <si>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</si>
  <si>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</si>
  <si>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</si>
  <si>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</si>
  <si>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</si>
  <si>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</si>
  <si>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</si>
  <si>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</si>
  <si>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[6, 3]</t>
  </si>
  <si>
    <t>[7, 2, 4]</t>
  </si>
  <si>
    <t>[8, 3]</t>
  </si>
  <si>
    <t>[9, 6]</t>
  </si>
  <si>
    <t>[2, 10, 5, 7]</t>
  </si>
  <si>
    <t>[3, 11, 6, 8]</t>
  </si>
  <si>
    <t>[4, 7]</t>
  </si>
  <si>
    <t>[5, 10]</t>
  </si>
  <si>
    <t>[6, 9]</t>
  </si>
  <si>
    <t>[7]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</si>
  <si>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</si>
  <si>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</si>
  <si>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</si>
  <si>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</si>
  <si>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</si>
  <si>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</si>
  <si>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</si>
  <si>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</si>
  <si>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</si>
  <si>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</si>
  <si>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</si>
  <si>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</si>
  <si>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</si>
  <si>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</si>
  <si>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</si>
  <si>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</si>
  <si>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</si>
  <si>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</si>
  <si>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</si>
  <si>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</si>
  <si>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</si>
  <si>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</si>
  <si>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</si>
  <si>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</si>
  <si>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</si>
  <si>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</si>
  <si>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</si>
  <si>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</si>
  <si>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</si>
  <si>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10-11;9-13;13-14;10-14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</si>
  <si>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</si>
  <si>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</si>
  <si>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</si>
  <si>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</si>
  <si>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</si>
  <si>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</si>
  <si>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</si>
  <si>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Mi</t>
  </si>
  <si>
    <t>time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</si>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</sst>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9" max="9" width="5.1640625" bestFit="1" customWidth="1"/>
    <col min="11" max="11" width="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59</v>
      </c>
      <c r="L1" s="2" t="s">
        <v>58</v>
      </c>
    </row>
    <row r="2" spans="1:12" x14ac:dyDescent="0.2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L2">
        <v>0</v>
      </c>
    </row>
    <row r="3" spans="1:12" x14ac:dyDescent="0.2">
      <c r="A3">
        <v>2</v>
      </c>
      <c r="B3">
        <v>750</v>
      </c>
      <c r="C3">
        <v>250</v>
      </c>
      <c r="D3">
        <v>83.612266000000005</v>
      </c>
      <c r="E3">
        <v>36.002448000000001</v>
      </c>
      <c r="F3">
        <v>25.201713000000002</v>
      </c>
      <c r="G3">
        <v>6.0204924693999997</v>
      </c>
      <c r="H3">
        <v>1307.68091</v>
      </c>
      <c r="I3">
        <v>1</v>
      </c>
      <c r="J3" t="s">
        <v>11</v>
      </c>
      <c r="K3">
        <f>((parameters!$B$3/2)/inputs_df!E3)+((parameters!$B$3/2)/inputs_df!F3)</f>
        <v>16.863932853834843</v>
      </c>
      <c r="L3">
        <f>H3*K3</f>
        <v>22052.643060481645</v>
      </c>
    </row>
    <row r="4" spans="1:12" x14ac:dyDescent="0.2">
      <c r="A4">
        <v>3</v>
      </c>
      <c r="B4">
        <v>1250</v>
      </c>
      <c r="C4">
        <v>250</v>
      </c>
      <c r="D4">
        <v>63.702202999999997</v>
      </c>
      <c r="E4">
        <v>30.03772</v>
      </c>
      <c r="F4">
        <v>21.026403999999999</v>
      </c>
      <c r="G4">
        <v>3.8269378867000001</v>
      </c>
      <c r="H4">
        <v>1091.0300709999999</v>
      </c>
      <c r="I4">
        <v>0</v>
      </c>
      <c r="J4" t="s">
        <v>12</v>
      </c>
      <c r="K4">
        <f>((parameters!$B$3/2)/inputs_df!E4)+((parameters!$B$3/2)/inputs_df!F4)</f>
        <v>20.212681160316336</v>
      </c>
      <c r="L4">
        <f t="shared" ref="L4:L16" si="0">H4*K4</f>
        <v>22052.642961440291</v>
      </c>
    </row>
    <row r="5" spans="1:12" x14ac:dyDescent="0.2">
      <c r="A5">
        <v>4</v>
      </c>
      <c r="B5">
        <v>1750</v>
      </c>
      <c r="C5">
        <v>250</v>
      </c>
      <c r="D5">
        <v>52.055971999999997</v>
      </c>
      <c r="E5">
        <v>20.69</v>
      </c>
      <c r="F5">
        <v>14.483000000000001</v>
      </c>
      <c r="G5">
        <v>2.1540761031</v>
      </c>
      <c r="H5">
        <v>751.50217999999995</v>
      </c>
      <c r="I5">
        <v>0</v>
      </c>
      <c r="J5" t="s">
        <v>13</v>
      </c>
      <c r="K5">
        <f>((parameters!$B$3/2)/inputs_df!E5)+((parameters!$B$3/2)/inputs_df!F5)</f>
        <v>29.344749016087825</v>
      </c>
      <c r="L5">
        <f t="shared" si="0"/>
        <v>22052.642857142855</v>
      </c>
    </row>
    <row r="6" spans="1:12" x14ac:dyDescent="0.2">
      <c r="A6">
        <v>5</v>
      </c>
      <c r="B6">
        <v>250</v>
      </c>
      <c r="C6">
        <v>750</v>
      </c>
      <c r="D6">
        <v>77.689819999999997</v>
      </c>
      <c r="E6">
        <v>36.63655</v>
      </c>
      <c r="F6">
        <v>25.645585000000001</v>
      </c>
      <c r="G6">
        <v>5.6925739452000004</v>
      </c>
      <c r="H6">
        <v>1330.7127640000001</v>
      </c>
      <c r="I6">
        <v>0</v>
      </c>
      <c r="J6" t="s">
        <v>14</v>
      </c>
      <c r="K6">
        <f>((parameters!$B$3/2)/inputs_df!E6)+((parameters!$B$3/2)/inputs_df!F6)</f>
        <v>16.572053240353068</v>
      </c>
      <c r="L6">
        <f t="shared" si="0"/>
        <v>22052.64277262539</v>
      </c>
    </row>
    <row r="7" spans="1:12" x14ac:dyDescent="0.2">
      <c r="A7">
        <v>6</v>
      </c>
      <c r="B7">
        <v>750</v>
      </c>
      <c r="C7">
        <v>750</v>
      </c>
      <c r="D7">
        <v>64.954074000000006</v>
      </c>
      <c r="E7">
        <v>41.413769000000002</v>
      </c>
      <c r="F7">
        <v>28.989637999999999</v>
      </c>
      <c r="G7">
        <v>5.3799860550999998</v>
      </c>
      <c r="H7">
        <v>1504.230926</v>
      </c>
      <c r="I7">
        <v>0</v>
      </c>
      <c r="J7" t="s">
        <v>15</v>
      </c>
      <c r="K7">
        <f>((parameters!$B$3/2)/inputs_df!E7)+((parameters!$B$3/2)/inputs_df!F7)</f>
        <v>14.660410667736109</v>
      </c>
      <c r="L7">
        <f t="shared" si="0"/>
        <v>22052.643114268965</v>
      </c>
    </row>
    <row r="8" spans="1:12" x14ac:dyDescent="0.2">
      <c r="A8">
        <v>7</v>
      </c>
      <c r="B8">
        <v>1250</v>
      </c>
      <c r="C8">
        <v>750</v>
      </c>
      <c r="D8">
        <v>49.466709000000002</v>
      </c>
      <c r="E8">
        <v>40.430255000000002</v>
      </c>
      <c r="F8">
        <v>28.301178</v>
      </c>
      <c r="G8">
        <v>3.9999033072999999</v>
      </c>
      <c r="H8">
        <v>1468.5077180000001</v>
      </c>
      <c r="I8">
        <v>0</v>
      </c>
      <c r="J8" t="s">
        <v>16</v>
      </c>
      <c r="K8">
        <f>((parameters!$B$3/2)/inputs_df!E8)+((parameters!$B$3/2)/inputs_df!F8)</f>
        <v>15.017042644241027</v>
      </c>
      <c r="L8">
        <f t="shared" si="0"/>
        <v>22052.643024603076</v>
      </c>
    </row>
    <row r="9" spans="1:12" x14ac:dyDescent="0.2">
      <c r="A9">
        <v>8</v>
      </c>
      <c r="B9">
        <v>1750</v>
      </c>
      <c r="C9">
        <v>750</v>
      </c>
      <c r="D9">
        <v>40.394875999999996</v>
      </c>
      <c r="E9">
        <v>33.631982999999998</v>
      </c>
      <c r="F9">
        <v>23.542387999999999</v>
      </c>
      <c r="G9">
        <v>2.7171195081000001</v>
      </c>
      <c r="H9">
        <v>1221.580874</v>
      </c>
      <c r="I9">
        <v>0</v>
      </c>
      <c r="J9" t="s">
        <v>17</v>
      </c>
      <c r="K9">
        <f>((parameters!$B$3/2)/inputs_df!E9)+((parameters!$B$3/2)/inputs_df!F9)</f>
        <v>18.052544170823282</v>
      </c>
      <c r="L9">
        <f t="shared" si="0"/>
        <v>22052.64268611791</v>
      </c>
    </row>
    <row r="10" spans="1:12" x14ac:dyDescent="0.2">
      <c r="A10">
        <v>9</v>
      </c>
      <c r="B10">
        <v>250</v>
      </c>
      <c r="C10">
        <v>1250</v>
      </c>
      <c r="D10">
        <v>50.147108000000003</v>
      </c>
      <c r="E10">
        <v>38.984758999999997</v>
      </c>
      <c r="F10">
        <v>27.289331000000001</v>
      </c>
      <c r="G10">
        <v>3.9099459040000002</v>
      </c>
      <c r="H10">
        <v>1416.004426</v>
      </c>
      <c r="I10">
        <v>0</v>
      </c>
      <c r="J10" t="s">
        <v>18</v>
      </c>
      <c r="K10">
        <f>((parameters!$B$3/2)/inputs_df!E10)+((parameters!$B$3/2)/inputs_df!F10)</f>
        <v>15.573851849873904</v>
      </c>
      <c r="L10">
        <f t="shared" si="0"/>
        <v>22052.643149289735</v>
      </c>
    </row>
    <row r="11" spans="1:12" x14ac:dyDescent="0.2">
      <c r="A11">
        <v>10</v>
      </c>
      <c r="B11">
        <v>750</v>
      </c>
      <c r="C11">
        <v>1250</v>
      </c>
      <c r="D11">
        <v>42.226241999999999</v>
      </c>
      <c r="E11">
        <v>48.733170999999999</v>
      </c>
      <c r="F11">
        <v>34.113219999999998</v>
      </c>
      <c r="G11">
        <v>4.1156374119999999</v>
      </c>
      <c r="H11">
        <v>1770.0862529999999</v>
      </c>
      <c r="I11">
        <v>0</v>
      </c>
      <c r="J11" t="s">
        <v>19</v>
      </c>
      <c r="K11">
        <f>((parameters!$B$3/2)/inputs_df!E11)+((parameters!$B$3/2)/inputs_df!F11)</f>
        <v>12.458513196320746</v>
      </c>
      <c r="L11">
        <f t="shared" si="0"/>
        <v>22052.642941626444</v>
      </c>
    </row>
    <row r="12" spans="1:12" x14ac:dyDescent="0.2">
      <c r="A12">
        <v>11</v>
      </c>
      <c r="B12">
        <v>1250</v>
      </c>
      <c r="C12">
        <v>1250</v>
      </c>
      <c r="D12">
        <v>32.667020000000001</v>
      </c>
      <c r="E12">
        <v>53.003445999999997</v>
      </c>
      <c r="F12">
        <v>37.102412000000001</v>
      </c>
      <c r="G12">
        <v>3.4629293142000002</v>
      </c>
      <c r="H12">
        <v>1925.1911729999999</v>
      </c>
      <c r="I12">
        <v>0</v>
      </c>
      <c r="J12" t="s">
        <v>20</v>
      </c>
      <c r="K12">
        <f>((parameters!$B$3/2)/inputs_df!E12)+((parameters!$B$3/2)/inputs_df!F12)</f>
        <v>11.454780865908802</v>
      </c>
      <c r="L12">
        <f t="shared" si="0"/>
        <v>22052.64301169692</v>
      </c>
    </row>
    <row r="13" spans="1:12" x14ac:dyDescent="0.2">
      <c r="A13">
        <v>12</v>
      </c>
      <c r="B13">
        <v>1750</v>
      </c>
      <c r="C13">
        <v>1250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2">
      <c r="A14">
        <v>13</v>
      </c>
      <c r="B14">
        <v>250</v>
      </c>
      <c r="C14">
        <v>1750</v>
      </c>
      <c r="D14">
        <v>33.55265</v>
      </c>
      <c r="E14">
        <v>41.595500000000001</v>
      </c>
      <c r="F14">
        <v>29.116849999999999</v>
      </c>
      <c r="G14">
        <v>2.7912785398</v>
      </c>
      <c r="H14">
        <v>1510.831764</v>
      </c>
      <c r="I14">
        <v>0</v>
      </c>
      <c r="J14" t="s">
        <v>10</v>
      </c>
      <c r="K14">
        <f>((parameters!$B$3/2)/inputs_df!E14)+((parameters!$B$3/2)/inputs_df!F14)</f>
        <v>14.596359152861659</v>
      </c>
      <c r="L14">
        <f t="shared" si="0"/>
        <v>22052.643046895526</v>
      </c>
    </row>
    <row r="15" spans="1:12" x14ac:dyDescent="0.2">
      <c r="A15">
        <v>14</v>
      </c>
      <c r="B15">
        <v>750</v>
      </c>
      <c r="C15">
        <v>1750</v>
      </c>
      <c r="D15">
        <v>28.771182</v>
      </c>
      <c r="E15">
        <v>53.970475</v>
      </c>
      <c r="F15">
        <v>37.779331999999997</v>
      </c>
      <c r="G15">
        <v>3.1055886730000002</v>
      </c>
      <c r="H15">
        <v>1960.315591</v>
      </c>
      <c r="I15">
        <v>0</v>
      </c>
      <c r="J15" t="s">
        <v>10</v>
      </c>
      <c r="K15">
        <f>((parameters!$B$3/2)/inputs_df!E15)+((parameters!$B$3/2)/inputs_df!F15)</f>
        <v>11.249537119500125</v>
      </c>
      <c r="L15">
        <f t="shared" si="0"/>
        <v>22052.643006889328</v>
      </c>
    </row>
    <row r="16" spans="1:12" x14ac:dyDescent="0.2">
      <c r="A16">
        <v>15</v>
      </c>
      <c r="B16">
        <v>1250</v>
      </c>
      <c r="C16">
        <v>1750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 t="s">
        <v>10</v>
      </c>
      <c r="K16">
        <v>0</v>
      </c>
      <c r="L16">
        <f t="shared" si="0"/>
        <v>0</v>
      </c>
    </row>
    <row r="17" spans="1:12" x14ac:dyDescent="0.2">
      <c r="A17">
        <v>16</v>
      </c>
      <c r="B17">
        <v>1750</v>
      </c>
      <c r="C17">
        <v>1750</v>
      </c>
      <c r="D17">
        <v>20</v>
      </c>
      <c r="E17">
        <v>56.970190000000002</v>
      </c>
      <c r="F17">
        <v>39.879133000000003</v>
      </c>
      <c r="G17">
        <v>2.2788076194000002</v>
      </c>
      <c r="H17">
        <v>2069.2712590000001</v>
      </c>
      <c r="I17">
        <v>0</v>
      </c>
      <c r="J17" t="s">
        <v>10</v>
      </c>
      <c r="K17">
        <f>((parameters!$B$3/2)/inputs_df!E17)+((parameters!$B$3/2)/inputs_df!F17)</f>
        <v>10.657202602674435</v>
      </c>
      <c r="L17">
        <f>H17*K17</f>
        <v>22052.643047054204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25</v>
      </c>
      <c r="B2">
        <v>1</v>
      </c>
      <c r="C2">
        <v>0</v>
      </c>
      <c r="D2">
        <v>2</v>
      </c>
      <c r="E2">
        <v>3</v>
      </c>
      <c r="F2">
        <v>2</v>
      </c>
    </row>
    <row r="3" spans="1:6" x14ac:dyDescent="0.2">
      <c r="A3" t="s">
        <v>26</v>
      </c>
      <c r="B3">
        <v>0</v>
      </c>
      <c r="C3">
        <v>1</v>
      </c>
      <c r="D3">
        <v>0</v>
      </c>
      <c r="E3">
        <v>3</v>
      </c>
      <c r="F3">
        <v>2</v>
      </c>
    </row>
    <row r="4" spans="1:6" x14ac:dyDescent="0.2">
      <c r="A4" t="s">
        <v>27</v>
      </c>
      <c r="B4">
        <v>3</v>
      </c>
      <c r="C4">
        <v>1</v>
      </c>
      <c r="D4">
        <v>0</v>
      </c>
      <c r="E4">
        <v>3</v>
      </c>
      <c r="F4">
        <v>2</v>
      </c>
    </row>
    <row r="5" spans="1:6" x14ac:dyDescent="0.2">
      <c r="A5" t="s">
        <v>28</v>
      </c>
      <c r="B5">
        <v>2</v>
      </c>
      <c r="C5">
        <v>2</v>
      </c>
      <c r="D5">
        <v>0</v>
      </c>
      <c r="E5">
        <v>3</v>
      </c>
      <c r="F5">
        <v>2</v>
      </c>
    </row>
    <row r="6" spans="1:6" x14ac:dyDescent="0.2">
      <c r="A6" t="s">
        <v>29</v>
      </c>
      <c r="B6">
        <v>0</v>
      </c>
      <c r="C6">
        <v>3</v>
      </c>
      <c r="D6">
        <v>0</v>
      </c>
      <c r="E6">
        <v>3</v>
      </c>
      <c r="F6">
        <v>2</v>
      </c>
    </row>
    <row r="7" spans="1:6" x14ac:dyDescent="0.2">
      <c r="A7" t="s">
        <v>30</v>
      </c>
      <c r="B7">
        <v>3</v>
      </c>
      <c r="C7">
        <v>3</v>
      </c>
      <c r="D7">
        <v>0</v>
      </c>
      <c r="E7">
        <v>3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baseColWidth="10" defaultColWidth="8.83203125" defaultRowHeight="15" x14ac:dyDescent="0.2"/>
  <sheetData>
    <row r="1" spans="1:3" x14ac:dyDescent="0.2">
      <c r="A1" s="1" t="s">
        <v>31</v>
      </c>
      <c r="B1" s="1" t="s">
        <v>32</v>
      </c>
      <c r="C1" s="1" t="s">
        <v>33</v>
      </c>
    </row>
    <row r="2" spans="1:3" x14ac:dyDescent="0.2">
      <c r="A2" t="s">
        <v>34</v>
      </c>
      <c r="B2">
        <v>16</v>
      </c>
      <c r="C2" t="s">
        <v>35</v>
      </c>
    </row>
    <row r="3" spans="1:3" x14ac:dyDescent="0.2">
      <c r="A3" t="s">
        <v>36</v>
      </c>
      <c r="B3">
        <v>500</v>
      </c>
      <c r="C3" t="s">
        <v>37</v>
      </c>
    </row>
    <row r="4" spans="1:3" x14ac:dyDescent="0.2">
      <c r="A4" t="s">
        <v>38</v>
      </c>
      <c r="B4">
        <v>2000</v>
      </c>
      <c r="C4" t="s">
        <v>39</v>
      </c>
    </row>
    <row r="5" spans="1:3" x14ac:dyDescent="0.2">
      <c r="A5" t="s">
        <v>40</v>
      </c>
      <c r="B5">
        <v>250000</v>
      </c>
      <c r="C5" t="s">
        <v>41</v>
      </c>
    </row>
    <row r="6" spans="1:3" x14ac:dyDescent="0.2">
      <c r="A6" t="s">
        <v>42</v>
      </c>
      <c r="B6">
        <v>24</v>
      </c>
      <c r="C6" t="s">
        <v>43</v>
      </c>
    </row>
    <row r="7" spans="1:3" x14ac:dyDescent="0.2">
      <c r="A7" t="s">
        <v>44</v>
      </c>
      <c r="B7">
        <v>36322</v>
      </c>
      <c r="C7" t="s">
        <v>45</v>
      </c>
    </row>
    <row r="8" spans="1:3" x14ac:dyDescent="0.2">
      <c r="A8" t="s">
        <v>46</v>
      </c>
      <c r="B8">
        <v>3.6322E-2</v>
      </c>
      <c r="C8" t="s">
        <v>47</v>
      </c>
    </row>
    <row r="9" spans="1:3" x14ac:dyDescent="0.2">
      <c r="A9" t="s">
        <v>48</v>
      </c>
      <c r="B9">
        <v>9080.5</v>
      </c>
      <c r="C9" t="s">
        <v>47</v>
      </c>
    </row>
    <row r="10" spans="1:3" x14ac:dyDescent="0.2">
      <c r="A10" t="s">
        <v>49</v>
      </c>
      <c r="B10" t="s">
        <v>50</v>
      </c>
      <c r="C10" t="s">
        <v>51</v>
      </c>
    </row>
    <row r="11" spans="1:3" x14ac:dyDescent="0.2">
      <c r="A11" t="s">
        <v>52</v>
      </c>
      <c r="B11">
        <v>166.67</v>
      </c>
    </row>
    <row r="12" spans="1:3" x14ac:dyDescent="0.2">
      <c r="A12" t="s">
        <v>53</v>
      </c>
      <c r="B12">
        <v>2000</v>
      </c>
    </row>
    <row r="13" spans="1:3" x14ac:dyDescent="0.2">
      <c r="A13" t="s">
        <v>54</v>
      </c>
      <c r="B13">
        <v>117.65</v>
      </c>
    </row>
    <row r="14" spans="1:3" x14ac:dyDescent="0.2">
      <c r="A14" t="s">
        <v>55</v>
      </c>
      <c r="B14">
        <v>500</v>
      </c>
    </row>
    <row r="15" spans="1:3" x14ac:dyDescent="0.2">
      <c r="A15" t="s">
        <v>56</v>
      </c>
      <c r="B15">
        <v>15</v>
      </c>
    </row>
    <row r="16" spans="1:3" x14ac:dyDescent="0.2">
      <c r="A16" t="s">
        <v>57</v>
      </c>
      <c r="B16">
        <v>1000</v>
      </c>
    </row>
    <row r="17" spans="1:2" x14ac:dyDescent="0.2">
      <c r="A17" t="s">
        <v>60</v>
      </c>
      <c r="B17">
        <f>85.1173885280282+MAX(inputs_df!K3:K17)</f>
        <v>114.46213754411602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2026-02-24T11:01:25Z</dcterms:created>
  <dcterms:modified xsi:type="dcterms:W3CDTF">2026-08-14T09:06:27Z</dcterms:modified>
</cp:coreProperties>
</file>
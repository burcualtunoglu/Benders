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t\deprem\wildfire\inputs\"/>
    </mc:Choice>
  </mc:AlternateContent>
  <xr:revisionPtr revIDLastSave="0" documentId="13_ncr:1_{EF0E1FB5-0625-4743-9809-686991D972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puts_df" sheetId="1" r:id="rId1"/>
    <sheet name="bases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K4" i="1"/>
  <c r="K5" i="1"/>
  <c r="L5" i="1" s="1"/>
  <c r="K6" i="1"/>
  <c r="L6" i="1" s="1"/>
  <c r="K8" i="1"/>
  <c r="K9" i="1"/>
  <c r="K10" i="1"/>
  <c r="K11" i="1"/>
  <c r="L11" i="1" s="1"/>
  <c r="K12" i="1"/>
  <c r="L12" i="1" s="1"/>
  <c r="K13" i="1"/>
  <c r="K14" i="1"/>
  <c r="L14" i="1" s="1"/>
  <c r="K15" i="1"/>
  <c r="L15" i="1" s="1"/>
  <c r="K16" i="1"/>
  <c r="K17" i="1"/>
  <c r="L17" i="1" s="1"/>
  <c r="K18" i="1"/>
  <c r="L18" i="1" s="1"/>
  <c r="K19" i="1"/>
  <c r="K20" i="1"/>
  <c r="K21" i="1"/>
  <c r="K22" i="1"/>
  <c r="K23" i="1"/>
  <c r="L23" i="1" s="1"/>
  <c r="K24" i="1"/>
  <c r="K25" i="1"/>
  <c r="K26" i="1"/>
  <c r="L26" i="1" s="1"/>
  <c r="L27" i="1"/>
  <c r="K28" i="1"/>
  <c r="K29" i="1"/>
  <c r="L29" i="1" s="1"/>
  <c r="K30" i="1"/>
  <c r="K31" i="1"/>
  <c r="K32" i="1"/>
  <c r="K33" i="1"/>
  <c r="K34" i="1"/>
  <c r="K35" i="1"/>
  <c r="L35" i="1" s="1"/>
  <c r="K36" i="1"/>
  <c r="L37" i="1"/>
  <c r="K3" i="1"/>
  <c r="L36" i="1"/>
  <c r="L34" i="1"/>
  <c r="L33" i="1"/>
  <c r="L32" i="1"/>
  <c r="L31" i="1"/>
  <c r="L30" i="1"/>
  <c r="L28" i="1"/>
  <c r="L25" i="1"/>
  <c r="L24" i="1"/>
  <c r="L22" i="1"/>
  <c r="L21" i="1"/>
  <c r="L20" i="1"/>
  <c r="L19" i="1"/>
  <c r="L16" i="1"/>
  <c r="L13" i="1"/>
  <c r="L10" i="1"/>
  <c r="L9" i="1"/>
  <c r="L8" i="1"/>
  <c r="L7" i="1"/>
  <c r="L4" i="1"/>
  <c r="L3" i="1"/>
</calcChain>
</file>

<file path=xl/sharedStrings.xml><?xml version="1.0" encoding="utf-8"?>
<sst xmlns="http://schemas.openxmlformats.org/spreadsheetml/2006/main" count="93" uniqueCount="87">
  <si>
    <t>node_id</t>
  </si>
  <si>
    <t>x_coordinate</t>
  </si>
  <si>
    <t>y_coordinate</t>
  </si>
  <si>
    <t>value_at_start</t>
  </si>
  <si>
    <t>fire_degradation_rate</t>
  </si>
  <si>
    <t>fire_amelioration_rate</t>
  </si>
  <si>
    <t>beta</t>
  </si>
  <si>
    <t>su</t>
  </si>
  <si>
    <t>state</t>
  </si>
  <si>
    <t>neighborhood_list</t>
  </si>
  <si>
    <t>[]</t>
  </si>
  <si>
    <t>[8, 3]</t>
  </si>
  <si>
    <t>[9, 2, 4]</t>
  </si>
  <si>
    <t>[10, 3, 5]</t>
  </si>
  <si>
    <t>[11, 4]</t>
  </si>
  <si>
    <t>[13, 8]</t>
  </si>
  <si>
    <t>[2, 14, 7, 9]</t>
  </si>
  <si>
    <t>[3, 8, 10]</t>
  </si>
  <si>
    <t>[4, 16, 9, 11]</t>
  </si>
  <si>
    <t>[5, 17, 10, 12]</t>
  </si>
  <si>
    <t>[18, 11]</t>
  </si>
  <si>
    <t>[7, 19, 14]</t>
  </si>
  <si>
    <t>[8, 20, 13, 15]</t>
  </si>
  <si>
    <t>[21, 14, 16]</t>
  </si>
  <si>
    <t>[10, 15, 17]</t>
  </si>
  <si>
    <t>[11, 23, 16, 18]</t>
  </si>
  <si>
    <t>[12, 24, 17]</t>
  </si>
  <si>
    <t>[13, 25, 20]</t>
  </si>
  <si>
    <t>[14, 19, 21]</t>
  </si>
  <si>
    <t>[15, 27, 20, 22]</t>
  </si>
  <si>
    <t>[28, 21]</t>
  </si>
  <si>
    <t>[17, 29, 24]</t>
  </si>
  <si>
    <t>[18, 30, 23]</t>
  </si>
  <si>
    <t>[19, 31]</t>
  </si>
  <si>
    <t>[21, 28]</t>
  </si>
  <si>
    <t>[22, 27, 29]</t>
  </si>
  <si>
    <t>[23, 28, 30]</t>
  </si>
  <si>
    <t>[24, 29]</t>
  </si>
  <si>
    <t>[25]</t>
  </si>
  <si>
    <t>[33]</t>
  </si>
  <si>
    <t>[32, 34]</t>
  </si>
  <si>
    <t>[33, 35]</t>
  </si>
  <si>
    <t>[34]</t>
  </si>
  <si>
    <t>Base</t>
  </si>
  <si>
    <t>Helicopter</t>
  </si>
  <si>
    <t>Fire Engine</t>
  </si>
  <si>
    <t>FRV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</si>
  <si>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</si>
  <si>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</si>
  <si>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</si>
  <si>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</si>
  <si>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</si>
  <si>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</si>
  <si>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</si>
  <si>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</si>
  <si>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</si>
  <si>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</si>
  <si>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parameter</t>
  </si>
  <si>
    <t>value</t>
  </si>
  <si>
    <t>note</t>
  </si>
  <si>
    <t>n_nodes</t>
  </si>
  <si>
    <t>required</t>
  </si>
  <si>
    <t>cell_side_length</t>
  </si>
  <si>
    <t>cell edge length (m)</t>
  </si>
  <si>
    <t>region_side_length</t>
  </si>
  <si>
    <t>grid_size * cell_side_length</t>
  </si>
  <si>
    <t>node_area</t>
  </si>
  <si>
    <t>cell_side_length^2</t>
  </si>
  <si>
    <t>time_limit</t>
  </si>
  <si>
    <t>default (hours)</t>
  </si>
  <si>
    <t>water required (for 1km2-lt)</t>
  </si>
  <si>
    <t>given</t>
  </si>
  <si>
    <t>water_required_per_m2</t>
  </si>
  <si>
    <t>derived</t>
  </si>
  <si>
    <t>water_required_per_cell</t>
  </si>
  <si>
    <t>road_pairs</t>
  </si>
  <si>
    <t>27-33;31-32;28-34;22-23;29-35;9-15;16-22</t>
  </si>
  <si>
    <t>edges removed from spread graph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</si>
  <si>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</si>
  <si>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</si>
  <si>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</si>
  <si>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</si>
  <si>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</si>
  <si>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</si>
  <si>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time</t>
  </si>
  <si>
    <t>Mi</t>
  </si>
  <si>
    <t>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</si>
</sst>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opLeftCell="A19" workbookViewId="0">
      <selection activeCell="M19" sqref="M1:M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84</v>
      </c>
      <c r="L1" s="2" t="s">
        <v>85</v>
      </c>
    </row>
    <row r="2" spans="1:12" x14ac:dyDescent="0.3">
      <c r="A2">
        <v>1</v>
      </c>
      <c r="B2">
        <v>250</v>
      </c>
      <c r="C2">
        <v>250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 t="s">
        <v>10</v>
      </c>
      <c r="K2">
        <v>0</v>
      </c>
      <c r="L2">
        <v>0</v>
      </c>
    </row>
    <row r="3" spans="1:12" x14ac:dyDescent="0.3">
      <c r="A3">
        <v>2</v>
      </c>
      <c r="B3">
        <v>750</v>
      </c>
      <c r="C3">
        <v>250</v>
      </c>
      <c r="D3">
        <v>94.255888999999996</v>
      </c>
      <c r="E3">
        <v>28.951675999999999</v>
      </c>
      <c r="F3">
        <v>20.266172999999998</v>
      </c>
      <c r="G3">
        <v>5.4577319438999998</v>
      </c>
      <c r="H3">
        <v>1051.5827850000001</v>
      </c>
      <c r="I3">
        <v>0</v>
      </c>
      <c r="J3" t="s">
        <v>11</v>
      </c>
      <c r="K3">
        <f>((parameters!$B$3/2)/inputs_df!E3)+((parameters!$B$3/2)/inputs_df!F3)</f>
        <v>20.970905472532198</v>
      </c>
      <c r="L3">
        <f>H3*K3</f>
        <v>22052.643180777151</v>
      </c>
    </row>
    <row r="4" spans="1:12" x14ac:dyDescent="0.3">
      <c r="A4">
        <v>3</v>
      </c>
      <c r="B4">
        <v>1250</v>
      </c>
      <c r="C4">
        <v>250</v>
      </c>
      <c r="D4">
        <v>83.538578999999999</v>
      </c>
      <c r="E4">
        <v>20.69</v>
      </c>
      <c r="F4">
        <v>14.483000000000001</v>
      </c>
      <c r="G4">
        <v>3.4568263803999999</v>
      </c>
      <c r="H4">
        <v>751.50217999999995</v>
      </c>
      <c r="I4">
        <v>0</v>
      </c>
      <c r="J4" t="s">
        <v>12</v>
      </c>
      <c r="K4">
        <f>((parameters!$B$3/2)/inputs_df!E4)+((parameters!$B$3/2)/inputs_df!F4)</f>
        <v>29.344749016087825</v>
      </c>
      <c r="L4">
        <f>H4*K4</f>
        <v>22052.642857142855</v>
      </c>
    </row>
    <row r="5" spans="1:12" x14ac:dyDescent="0.3">
      <c r="A5">
        <v>4</v>
      </c>
      <c r="B5">
        <v>1750</v>
      </c>
      <c r="C5">
        <v>250</v>
      </c>
      <c r="D5">
        <v>69.823096000000007</v>
      </c>
      <c r="E5">
        <v>22.517230999999999</v>
      </c>
      <c r="F5">
        <v>15.762062</v>
      </c>
      <c r="G5">
        <v>3.1444455315000002</v>
      </c>
      <c r="H5">
        <v>817.870859</v>
      </c>
      <c r="I5">
        <v>1</v>
      </c>
      <c r="J5" t="s">
        <v>13</v>
      </c>
      <c r="K5">
        <f>((parameters!$B$3/2)/inputs_df!E5)+((parameters!$B$3/2)/inputs_df!F5)</f>
        <v>26.963477451794223</v>
      </c>
      <c r="L5">
        <f t="shared" ref="L5:L37" si="0">H5*K5</f>
        <v>22052.642465126071</v>
      </c>
    </row>
    <row r="6" spans="1:12" x14ac:dyDescent="0.3">
      <c r="A6">
        <v>5</v>
      </c>
      <c r="B6">
        <v>2250</v>
      </c>
      <c r="C6">
        <v>250</v>
      </c>
      <c r="D6">
        <v>58.869250000000001</v>
      </c>
      <c r="E6">
        <v>31.76135</v>
      </c>
      <c r="F6">
        <v>22.232945000000001</v>
      </c>
      <c r="G6">
        <v>3.7395336605999998</v>
      </c>
      <c r="H6">
        <v>1153.6357410000001</v>
      </c>
      <c r="I6">
        <v>0</v>
      </c>
      <c r="J6" t="s">
        <v>14</v>
      </c>
      <c r="K6">
        <f>((parameters!$B$3/2)/inputs_df!E6)+((parameters!$B$3/2)/inputs_df!F6)</f>
        <v>19.115776160108343</v>
      </c>
      <c r="L6">
        <f t="shared" si="0"/>
        <v>22052.642595256722</v>
      </c>
    </row>
    <row r="7" spans="1:12" x14ac:dyDescent="0.3">
      <c r="A7">
        <v>6</v>
      </c>
      <c r="B7">
        <v>2750</v>
      </c>
      <c r="C7">
        <v>250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 t="s">
        <v>10</v>
      </c>
      <c r="K7">
        <v>0</v>
      </c>
      <c r="L7">
        <f t="shared" si="0"/>
        <v>0</v>
      </c>
    </row>
    <row r="8" spans="1:12" x14ac:dyDescent="0.3">
      <c r="A8">
        <v>7</v>
      </c>
      <c r="B8">
        <v>250</v>
      </c>
      <c r="C8">
        <v>750</v>
      </c>
      <c r="D8">
        <v>85.183618999999993</v>
      </c>
      <c r="E8">
        <v>40.572837</v>
      </c>
      <c r="F8">
        <v>28.400986</v>
      </c>
      <c r="G8">
        <v>6.9122821415000004</v>
      </c>
      <c r="H8">
        <v>1473.6865829999999</v>
      </c>
      <c r="I8">
        <v>0</v>
      </c>
      <c r="J8" t="s">
        <v>15</v>
      </c>
      <c r="K8">
        <f>((parameters!$B$3/2)/inputs_df!E8)+((parameters!$B$3/2)/inputs_df!F8)</f>
        <v>14.964269219955103</v>
      </c>
      <c r="L8">
        <f t="shared" si="0"/>
        <v>22052.64277384771</v>
      </c>
    </row>
    <row r="9" spans="1:12" x14ac:dyDescent="0.3">
      <c r="A9">
        <v>8</v>
      </c>
      <c r="B9">
        <v>750</v>
      </c>
      <c r="C9">
        <v>750</v>
      </c>
      <c r="D9">
        <v>81.645696999999998</v>
      </c>
      <c r="E9">
        <v>34.424914999999999</v>
      </c>
      <c r="F9">
        <v>24.097439999999999</v>
      </c>
      <c r="G9">
        <v>5.6212922622999999</v>
      </c>
      <c r="H9">
        <v>1250.3817469999999</v>
      </c>
      <c r="I9">
        <v>0</v>
      </c>
      <c r="J9" t="s">
        <v>16</v>
      </c>
      <c r="K9">
        <f>((parameters!$B$3/2)/inputs_df!E9)+((parameters!$B$3/2)/inputs_df!F9)</f>
        <v>17.636728066089553</v>
      </c>
      <c r="L9">
        <f t="shared" si="0"/>
        <v>22052.642850640987</v>
      </c>
    </row>
    <row r="10" spans="1:12" x14ac:dyDescent="0.3">
      <c r="A10">
        <v>9</v>
      </c>
      <c r="B10">
        <v>1250</v>
      </c>
      <c r="C10">
        <v>750</v>
      </c>
      <c r="D10">
        <v>73.837147999999999</v>
      </c>
      <c r="E10">
        <v>30.932569000000001</v>
      </c>
      <c r="F10">
        <v>21.652798000000001</v>
      </c>
      <c r="G10">
        <v>4.5679453252000002</v>
      </c>
      <c r="H10">
        <v>1123.5327689999999</v>
      </c>
      <c r="I10">
        <v>0</v>
      </c>
      <c r="J10" t="s">
        <v>17</v>
      </c>
      <c r="K10">
        <f>((parameters!$B$3/2)/inputs_df!E10)+((parameters!$B$3/2)/inputs_df!F10)</f>
        <v>19.62794820213864</v>
      </c>
      <c r="L10">
        <f t="shared" si="0"/>
        <v>22052.642993337395</v>
      </c>
    </row>
    <row r="11" spans="1:12" x14ac:dyDescent="0.3">
      <c r="A11">
        <v>10</v>
      </c>
      <c r="B11">
        <v>1750</v>
      </c>
      <c r="C11">
        <v>750</v>
      </c>
      <c r="D11">
        <v>63.426999000000002</v>
      </c>
      <c r="E11">
        <v>35.181989999999999</v>
      </c>
      <c r="F11">
        <v>24.627393000000001</v>
      </c>
      <c r="G11">
        <v>4.4629761238999999</v>
      </c>
      <c r="H11">
        <v>1277.8802470000001</v>
      </c>
      <c r="I11">
        <v>0</v>
      </c>
      <c r="J11" t="s">
        <v>18</v>
      </c>
      <c r="K11">
        <f>((parameters!$B$3/2)/inputs_df!E11)+((parameters!$B$3/2)/inputs_df!F11)</f>
        <v>17.257206233725185</v>
      </c>
      <c r="L11">
        <f t="shared" si="0"/>
        <v>22052.642964482679</v>
      </c>
    </row>
    <row r="12" spans="1:12" x14ac:dyDescent="0.3">
      <c r="A12">
        <v>11</v>
      </c>
      <c r="B12">
        <v>2250</v>
      </c>
      <c r="C12">
        <v>750</v>
      </c>
      <c r="D12">
        <v>56.392012000000001</v>
      </c>
      <c r="E12">
        <v>43.954566999999997</v>
      </c>
      <c r="F12">
        <v>30.768197000000001</v>
      </c>
      <c r="G12">
        <v>4.9573729100000001</v>
      </c>
      <c r="H12">
        <v>1596.5177679999999</v>
      </c>
      <c r="I12">
        <v>0</v>
      </c>
      <c r="J12" t="s">
        <v>19</v>
      </c>
      <c r="K12">
        <f>((parameters!$B$3/2)/inputs_df!E12)+((parameters!$B$3/2)/inputs_df!F12)</f>
        <v>13.812964099546331</v>
      </c>
      <c r="L12">
        <f t="shared" si="0"/>
        <v>22052.642613671836</v>
      </c>
    </row>
    <row r="13" spans="1:12" x14ac:dyDescent="0.3">
      <c r="A13">
        <v>12</v>
      </c>
      <c r="B13">
        <v>2750</v>
      </c>
      <c r="C13">
        <v>750</v>
      </c>
      <c r="D13">
        <v>55.071131999999999</v>
      </c>
      <c r="E13">
        <v>51.183039999999998</v>
      </c>
      <c r="F13">
        <v>35.828128</v>
      </c>
      <c r="G13">
        <v>5.6374158853000003</v>
      </c>
      <c r="H13">
        <v>1859.0703719999999</v>
      </c>
      <c r="I13">
        <v>0</v>
      </c>
      <c r="J13" t="s">
        <v>20</v>
      </c>
      <c r="K13">
        <f>((parameters!$B$3/2)/inputs_df!E13)+((parameters!$B$3/2)/inputs_df!F13)</f>
        <v>11.862188278438662</v>
      </c>
      <c r="L13">
        <f t="shared" si="0"/>
        <v>22052.642775531003</v>
      </c>
    </row>
    <row r="14" spans="1:12" x14ac:dyDescent="0.3">
      <c r="A14">
        <v>13</v>
      </c>
      <c r="B14">
        <v>250</v>
      </c>
      <c r="C14">
        <v>1250</v>
      </c>
      <c r="D14">
        <v>63.841481000000002</v>
      </c>
      <c r="E14">
        <v>40.823003</v>
      </c>
      <c r="F14">
        <v>28.576101999999999</v>
      </c>
      <c r="G14">
        <v>5.2124019086000004</v>
      </c>
      <c r="H14">
        <v>1482.7731100000001</v>
      </c>
      <c r="I14">
        <v>0</v>
      </c>
      <c r="J14" t="s">
        <v>21</v>
      </c>
      <c r="K14">
        <f>((parameters!$B$3/2)/inputs_df!E14)+((parameters!$B$3/2)/inputs_df!F14)</f>
        <v>14.872567272737204</v>
      </c>
      <c r="L14">
        <f t="shared" si="0"/>
        <v>22052.642828680764</v>
      </c>
    </row>
    <row r="15" spans="1:12" x14ac:dyDescent="0.3">
      <c r="A15">
        <v>14</v>
      </c>
      <c r="B15">
        <v>750</v>
      </c>
      <c r="C15">
        <v>1250</v>
      </c>
      <c r="D15">
        <v>64.904970000000006</v>
      </c>
      <c r="E15">
        <v>38.635393999999998</v>
      </c>
      <c r="F15">
        <v>27.044775999999999</v>
      </c>
      <c r="G15">
        <v>5.0152580993000004</v>
      </c>
      <c r="H15">
        <v>1403.314768</v>
      </c>
      <c r="I15">
        <v>0</v>
      </c>
      <c r="J15" t="s">
        <v>22</v>
      </c>
      <c r="K15">
        <f>((parameters!$B$3/2)/inputs_df!E15)+((parameters!$B$3/2)/inputs_df!F15)</f>
        <v>15.714680028932396</v>
      </c>
      <c r="L15">
        <f t="shared" si="0"/>
        <v>22052.642558995496</v>
      </c>
    </row>
    <row r="16" spans="1:12" x14ac:dyDescent="0.3">
      <c r="A16">
        <v>15</v>
      </c>
      <c r="B16">
        <v>1250</v>
      </c>
      <c r="C16">
        <v>1250</v>
      </c>
      <c r="D16">
        <v>63.016699000000003</v>
      </c>
      <c r="E16">
        <v>39.167197999999999</v>
      </c>
      <c r="F16">
        <v>27.417038999999999</v>
      </c>
      <c r="G16">
        <v>4.9363750747999999</v>
      </c>
      <c r="H16">
        <v>1422.630971</v>
      </c>
      <c r="I16">
        <v>0</v>
      </c>
      <c r="J16" t="s">
        <v>23</v>
      </c>
      <c r="K16">
        <f>((parameters!$B$3/2)/inputs_df!E16)+((parameters!$B$3/2)/inputs_df!F16)</f>
        <v>15.501309333701457</v>
      </c>
      <c r="L16">
        <f t="shared" si="0"/>
        <v>22052.642749175066</v>
      </c>
    </row>
    <row r="17" spans="1:12" x14ac:dyDescent="0.3">
      <c r="A17">
        <v>16</v>
      </c>
      <c r="B17">
        <v>1750</v>
      </c>
      <c r="C17">
        <v>1250</v>
      </c>
      <c r="D17">
        <v>58.001758000000002</v>
      </c>
      <c r="E17">
        <v>44.515841000000002</v>
      </c>
      <c r="F17">
        <v>31.161089</v>
      </c>
      <c r="G17">
        <v>5.1639940888</v>
      </c>
      <c r="H17">
        <v>1616.9043919999999</v>
      </c>
      <c r="I17">
        <v>0</v>
      </c>
      <c r="J17" t="s">
        <v>24</v>
      </c>
      <c r="K17">
        <f>((parameters!$B$3/2)/inputs_df!E17)+((parameters!$B$3/2)/inputs_df!F17)</f>
        <v>13.638804525887831</v>
      </c>
      <c r="L17">
        <f t="shared" si="0"/>
        <v>22052.642939537513</v>
      </c>
    </row>
    <row r="18" spans="1:12" x14ac:dyDescent="0.3">
      <c r="A18">
        <v>17</v>
      </c>
      <c r="B18">
        <v>2250</v>
      </c>
      <c r="C18">
        <v>1250</v>
      </c>
      <c r="D18">
        <v>55.694341000000001</v>
      </c>
      <c r="E18">
        <v>51.639246</v>
      </c>
      <c r="F18">
        <v>36.147472</v>
      </c>
      <c r="G18">
        <v>5.7520275524000004</v>
      </c>
      <c r="H18">
        <v>1875.6406979999999</v>
      </c>
      <c r="I18">
        <v>0</v>
      </c>
      <c r="J18" t="s">
        <v>25</v>
      </c>
      <c r="K18">
        <f>((parameters!$B$3/2)/inputs_df!E18)+((parameters!$B$3/2)/inputs_df!F18)</f>
        <v>11.757392025415889</v>
      </c>
      <c r="L18">
        <f t="shared" si="0"/>
        <v>22052.642985210692</v>
      </c>
    </row>
    <row r="19" spans="1:12" x14ac:dyDescent="0.3">
      <c r="A19">
        <v>18</v>
      </c>
      <c r="B19">
        <v>2750</v>
      </c>
      <c r="C19">
        <v>1250</v>
      </c>
      <c r="D19">
        <v>57.481831999999997</v>
      </c>
      <c r="E19">
        <v>56.742688000000001</v>
      </c>
      <c r="F19">
        <v>39.719881999999998</v>
      </c>
      <c r="G19">
        <v>6.5233473968000002</v>
      </c>
      <c r="H19">
        <v>2061.0079260000002</v>
      </c>
      <c r="I19">
        <v>0</v>
      </c>
      <c r="J19" t="s">
        <v>26</v>
      </c>
      <c r="K19">
        <f>((parameters!$B$3/2)/inputs_df!E19)+((parameters!$B$3/2)/inputs_df!F19)</f>
        <v>10.699931126742563</v>
      </c>
      <c r="L19">
        <f t="shared" si="0"/>
        <v>22052.642859870535</v>
      </c>
    </row>
    <row r="20" spans="1:12" x14ac:dyDescent="0.3">
      <c r="A20">
        <v>19</v>
      </c>
      <c r="B20">
        <v>250</v>
      </c>
      <c r="C20">
        <v>1750</v>
      </c>
      <c r="D20">
        <v>43.797415999999998</v>
      </c>
      <c r="E20">
        <v>43.004471000000002</v>
      </c>
      <c r="F20">
        <v>30.10313</v>
      </c>
      <c r="G20">
        <v>3.7669694487999998</v>
      </c>
      <c r="H20">
        <v>1562.0084119999999</v>
      </c>
      <c r="I20">
        <v>0</v>
      </c>
      <c r="J20" t="s">
        <v>27</v>
      </c>
      <c r="K20">
        <f>((parameters!$B$3/2)/inputs_df!E20)+((parameters!$B$3/2)/inputs_df!F20)</f>
        <v>14.118133288598385</v>
      </c>
      <c r="L20">
        <f t="shared" si="0"/>
        <v>22052.6429585279</v>
      </c>
    </row>
    <row r="21" spans="1:12" x14ac:dyDescent="0.3">
      <c r="A21">
        <v>20</v>
      </c>
      <c r="B21">
        <v>750</v>
      </c>
      <c r="C21">
        <v>1750</v>
      </c>
      <c r="D21">
        <v>51.710203999999997</v>
      </c>
      <c r="E21">
        <v>41.653582999999998</v>
      </c>
      <c r="F21">
        <v>29.157508</v>
      </c>
      <c r="G21">
        <v>4.3078304845000002</v>
      </c>
      <c r="H21">
        <v>1512.9414280000001</v>
      </c>
      <c r="I21">
        <v>0</v>
      </c>
      <c r="J21" t="s">
        <v>28</v>
      </c>
      <c r="K21">
        <f>((parameters!$B$3/2)/inputs_df!E21)+((parameters!$B$3/2)/inputs_df!F21)</f>
        <v>14.576005583186724</v>
      </c>
      <c r="L21">
        <f t="shared" si="0"/>
        <v>22052.642701562498</v>
      </c>
    </row>
    <row r="22" spans="1:12" x14ac:dyDescent="0.3">
      <c r="A22">
        <v>21</v>
      </c>
      <c r="B22">
        <v>1250</v>
      </c>
      <c r="C22">
        <v>1750</v>
      </c>
      <c r="D22">
        <v>58.575933999999997</v>
      </c>
      <c r="E22">
        <v>41.229666999999999</v>
      </c>
      <c r="F22">
        <v>28.860766999999999</v>
      </c>
      <c r="G22">
        <v>4.8301325414000003</v>
      </c>
      <c r="H22">
        <v>1497.5439719999999</v>
      </c>
      <c r="I22">
        <v>0</v>
      </c>
      <c r="J22" t="s">
        <v>29</v>
      </c>
      <c r="K22">
        <f>((parameters!$B$3/2)/inputs_df!E22)+((parameters!$B$3/2)/inputs_df!F22)</f>
        <v>14.725873383973457</v>
      </c>
      <c r="L22">
        <f t="shared" si="0"/>
        <v>22052.642918604692</v>
      </c>
    </row>
    <row r="23" spans="1:12" x14ac:dyDescent="0.3">
      <c r="A23">
        <v>22</v>
      </c>
      <c r="B23">
        <v>1750</v>
      </c>
      <c r="C23">
        <v>1750</v>
      </c>
      <c r="D23">
        <v>59.817366999999997</v>
      </c>
      <c r="E23">
        <v>43.297600000000003</v>
      </c>
      <c r="F23">
        <v>30.308319999999998</v>
      </c>
      <c r="G23">
        <v>5.1798967835000003</v>
      </c>
      <c r="H23">
        <v>1572.6554149999999</v>
      </c>
      <c r="I23">
        <v>0</v>
      </c>
      <c r="J23" t="s">
        <v>30</v>
      </c>
      <c r="K23">
        <f>((parameters!$B$3/2)/inputs_df!E23)+((parameters!$B$3/2)/inputs_df!F23)</f>
        <v>14.022552223283903</v>
      </c>
      <c r="L23">
        <f t="shared" si="0"/>
        <v>22052.642686067717</v>
      </c>
    </row>
    <row r="24" spans="1:12" x14ac:dyDescent="0.3">
      <c r="A24">
        <v>23</v>
      </c>
      <c r="B24">
        <v>2250</v>
      </c>
      <c r="C24">
        <v>1750</v>
      </c>
      <c r="D24">
        <v>60.087806</v>
      </c>
      <c r="E24">
        <v>46.624572999999998</v>
      </c>
      <c r="F24">
        <v>32.637200999999997</v>
      </c>
      <c r="G24">
        <v>5.6031365432999998</v>
      </c>
      <c r="H24">
        <v>1693.497723</v>
      </c>
      <c r="I24">
        <v>0</v>
      </c>
      <c r="J24" t="s">
        <v>31</v>
      </c>
      <c r="K24">
        <f>((parameters!$B$3/2)/inputs_df!E24)+((parameters!$B$3/2)/inputs_df!F24)</f>
        <v>13.02194999699276</v>
      </c>
      <c r="L24">
        <f t="shared" si="0"/>
        <v>22052.642668927096</v>
      </c>
    </row>
    <row r="25" spans="1:12" x14ac:dyDescent="0.3">
      <c r="A25">
        <v>24</v>
      </c>
      <c r="B25">
        <v>2750</v>
      </c>
      <c r="C25">
        <v>1750</v>
      </c>
      <c r="D25">
        <v>62.214418000000002</v>
      </c>
      <c r="E25">
        <v>49.131259</v>
      </c>
      <c r="F25">
        <v>34.391880999999998</v>
      </c>
      <c r="G25">
        <v>6.1133453401000004</v>
      </c>
      <c r="H25">
        <v>1784.5455730000001</v>
      </c>
      <c r="I25">
        <v>0</v>
      </c>
      <c r="J25" t="s">
        <v>32</v>
      </c>
      <c r="K25">
        <f>((parameters!$B$3/2)/inputs_df!E25)+((parameters!$B$3/2)/inputs_df!F25)</f>
        <v>12.357567719935904</v>
      </c>
      <c r="L25">
        <f t="shared" si="0"/>
        <v>22052.642767659323</v>
      </c>
    </row>
    <row r="26" spans="1:12" x14ac:dyDescent="0.3">
      <c r="A26">
        <v>25</v>
      </c>
      <c r="B26">
        <v>250</v>
      </c>
      <c r="C26">
        <v>2250</v>
      </c>
      <c r="D26">
        <v>28.521823000000001</v>
      </c>
      <c r="E26">
        <v>51.270266999999997</v>
      </c>
      <c r="F26">
        <v>35.889187</v>
      </c>
      <c r="G26">
        <v>2.9246428897999999</v>
      </c>
      <c r="H26">
        <v>1862.238623</v>
      </c>
      <c r="I26">
        <v>0</v>
      </c>
      <c r="J26" t="s">
        <v>33</v>
      </c>
      <c r="K26">
        <f>((parameters!$B$3/2)/inputs_df!E26)+((parameters!$B$3/2)/inputs_df!F26)</f>
        <v>11.84200691109587</v>
      </c>
      <c r="L26">
        <f t="shared" si="0"/>
        <v>22052.642643675656</v>
      </c>
    </row>
    <row r="27" spans="1:12" x14ac:dyDescent="0.3">
      <c r="A27">
        <v>26</v>
      </c>
      <c r="B27">
        <v>750</v>
      </c>
      <c r="C27">
        <v>2250</v>
      </c>
      <c r="D27">
        <v>0</v>
      </c>
      <c r="E27">
        <v>0</v>
      </c>
      <c r="F27">
        <v>0</v>
      </c>
      <c r="G27">
        <v>0</v>
      </c>
      <c r="H27">
        <v>0</v>
      </c>
      <c r="I27">
        <v>3</v>
      </c>
      <c r="J27" t="s">
        <v>10</v>
      </c>
      <c r="K27">
        <v>0</v>
      </c>
      <c r="L27">
        <f t="shared" si="0"/>
        <v>0</v>
      </c>
    </row>
    <row r="28" spans="1:12" x14ac:dyDescent="0.3">
      <c r="A28">
        <v>27</v>
      </c>
      <c r="B28">
        <v>1250</v>
      </c>
      <c r="C28">
        <v>2250</v>
      </c>
      <c r="D28">
        <v>60.243513999999998</v>
      </c>
      <c r="E28">
        <v>43.974432999999998</v>
      </c>
      <c r="F28">
        <v>30.782102999999999</v>
      </c>
      <c r="G28">
        <v>5.2983487376999996</v>
      </c>
      <c r="H28">
        <v>1597.239341</v>
      </c>
      <c r="I28">
        <v>0</v>
      </c>
      <c r="J28" t="s">
        <v>34</v>
      </c>
      <c r="K28">
        <f>((parameters!$B$3/2)/inputs_df!E28)+((parameters!$B$3/2)/inputs_df!F28)</f>
        <v>13.806723973066035</v>
      </c>
      <c r="L28">
        <f t="shared" si="0"/>
        <v>22052.642700108896</v>
      </c>
    </row>
    <row r="29" spans="1:12" x14ac:dyDescent="0.3">
      <c r="A29">
        <v>28</v>
      </c>
      <c r="B29">
        <v>1750</v>
      </c>
      <c r="C29">
        <v>2250</v>
      </c>
      <c r="D29">
        <v>67.316934000000003</v>
      </c>
      <c r="E29">
        <v>39.804777000000001</v>
      </c>
      <c r="F29">
        <v>27.863344000000001</v>
      </c>
      <c r="G29">
        <v>5.3590710669000003</v>
      </c>
      <c r="H29">
        <v>1445.7891099999999</v>
      </c>
      <c r="I29">
        <v>0</v>
      </c>
      <c r="J29" t="s">
        <v>35</v>
      </c>
      <c r="K29">
        <f>((parameters!$B$3/2)/inputs_df!E29)+((parameters!$B$3/2)/inputs_df!F29)</f>
        <v>15.253014879623397</v>
      </c>
      <c r="L29">
        <f t="shared" si="0"/>
        <v>22052.642807627468</v>
      </c>
    </row>
    <row r="30" spans="1:12" x14ac:dyDescent="0.3">
      <c r="A30">
        <v>29</v>
      </c>
      <c r="B30">
        <v>2250</v>
      </c>
      <c r="C30">
        <v>2250</v>
      </c>
      <c r="D30">
        <v>67.661884000000001</v>
      </c>
      <c r="E30">
        <v>37.649009999999997</v>
      </c>
      <c r="F30">
        <v>26.354306999999999</v>
      </c>
      <c r="G30">
        <v>5.0948058752999996</v>
      </c>
      <c r="H30">
        <v>1367.4873339999999</v>
      </c>
      <c r="I30">
        <v>0</v>
      </c>
      <c r="J30" t="s">
        <v>36</v>
      </c>
      <c r="K30">
        <f>((parameters!$B$3/2)/inputs_df!E30)+((parameters!$B$3/2)/inputs_df!F30)</f>
        <v>16.126396341971734</v>
      </c>
      <c r="L30">
        <f t="shared" si="0"/>
        <v>22052.642740710278</v>
      </c>
    </row>
    <row r="31" spans="1:12" x14ac:dyDescent="0.3">
      <c r="A31">
        <v>30</v>
      </c>
      <c r="B31">
        <v>2750</v>
      </c>
      <c r="C31">
        <v>2250</v>
      </c>
      <c r="D31">
        <v>67.448406000000006</v>
      </c>
      <c r="E31">
        <v>36.998209000000003</v>
      </c>
      <c r="F31">
        <v>25.898747</v>
      </c>
      <c r="G31">
        <v>4.9909404973999996</v>
      </c>
      <c r="H31">
        <v>1343.848962</v>
      </c>
      <c r="I31">
        <v>0</v>
      </c>
      <c r="J31" t="s">
        <v>37</v>
      </c>
      <c r="K31">
        <f>((parameters!$B$3/2)/inputs_df!E31)+((parameters!$B$3/2)/inputs_df!F31)</f>
        <v>16.410060484005605</v>
      </c>
      <c r="L31">
        <f t="shared" si="0"/>
        <v>22052.642747788152</v>
      </c>
    </row>
    <row r="32" spans="1:12" x14ac:dyDescent="0.3">
      <c r="A32">
        <v>31</v>
      </c>
      <c r="B32">
        <v>250</v>
      </c>
      <c r="C32">
        <v>2750</v>
      </c>
      <c r="D32">
        <v>20</v>
      </c>
      <c r="E32">
        <v>60.69</v>
      </c>
      <c r="F32">
        <v>42.482999999999997</v>
      </c>
      <c r="G32">
        <v>2.4276</v>
      </c>
      <c r="H32">
        <v>2204.3821800000001</v>
      </c>
      <c r="I32">
        <v>1</v>
      </c>
      <c r="J32" t="s">
        <v>38</v>
      </c>
      <c r="K32">
        <f>((parameters!$B$3/2)/inputs_df!E32)+((parameters!$B$3/2)/inputs_df!F32)</f>
        <v>10.004001600640258</v>
      </c>
      <c r="L32">
        <f t="shared" si="0"/>
        <v>22052.642857142862</v>
      </c>
    </row>
    <row r="33" spans="1:12" x14ac:dyDescent="0.3">
      <c r="A33">
        <v>32</v>
      </c>
      <c r="B33">
        <v>750</v>
      </c>
      <c r="C33">
        <v>2750</v>
      </c>
      <c r="D33">
        <v>40.251499000000003</v>
      </c>
      <c r="E33">
        <v>56.956470000000003</v>
      </c>
      <c r="F33">
        <v>39.869529</v>
      </c>
      <c r="G33">
        <v>4.5851665689000001</v>
      </c>
      <c r="H33">
        <v>2068.7728900000002</v>
      </c>
      <c r="I33">
        <v>0</v>
      </c>
      <c r="J33" t="s">
        <v>39</v>
      </c>
      <c r="K33">
        <f>((parameters!$B$3/2)/inputs_df!E33)+((parameters!$B$3/2)/inputs_df!F33)</f>
        <v>10.659769770543313</v>
      </c>
      <c r="L33">
        <f t="shared" si="0"/>
        <v>22052.642714941529</v>
      </c>
    </row>
    <row r="34" spans="1:12" x14ac:dyDescent="0.3">
      <c r="A34">
        <v>33</v>
      </c>
      <c r="B34">
        <v>1250</v>
      </c>
      <c r="C34">
        <v>2750</v>
      </c>
      <c r="D34">
        <v>63.125751000000001</v>
      </c>
      <c r="E34">
        <v>48.941470000000002</v>
      </c>
      <c r="F34">
        <v>34.259028999999998</v>
      </c>
      <c r="G34">
        <v>6.1789341099000001</v>
      </c>
      <c r="H34">
        <v>1777.6520820000001</v>
      </c>
      <c r="I34">
        <v>0</v>
      </c>
      <c r="J34" t="s">
        <v>40</v>
      </c>
      <c r="K34">
        <f>((parameters!$B$3/2)/inputs_df!E34)+((parameters!$B$3/2)/inputs_df!F34)</f>
        <v>12.405488783701372</v>
      </c>
      <c r="L34">
        <f t="shared" si="0"/>
        <v>22052.642964574392</v>
      </c>
    </row>
    <row r="35" spans="1:12" x14ac:dyDescent="0.3">
      <c r="A35">
        <v>34</v>
      </c>
      <c r="B35">
        <v>1750</v>
      </c>
      <c r="C35">
        <v>2750</v>
      </c>
      <c r="D35">
        <v>73.967584000000002</v>
      </c>
      <c r="E35">
        <v>39.858547999999999</v>
      </c>
      <c r="F35">
        <v>27.900983</v>
      </c>
      <c r="G35">
        <v>5.8964809109000003</v>
      </c>
      <c r="H35">
        <v>1447.742164</v>
      </c>
      <c r="I35">
        <v>0</v>
      </c>
      <c r="J35" t="s">
        <v>41</v>
      </c>
      <c r="K35">
        <f>((parameters!$B$3/2)/inputs_df!E35)+((parameters!$B$3/2)/inputs_df!F35)</f>
        <v>15.232438091399569</v>
      </c>
      <c r="L35">
        <f t="shared" si="0"/>
        <v>22052.642885438843</v>
      </c>
    </row>
    <row r="36" spans="1:12" x14ac:dyDescent="0.3">
      <c r="A36">
        <v>35</v>
      </c>
      <c r="B36">
        <v>2250</v>
      </c>
      <c r="C36">
        <v>2750</v>
      </c>
      <c r="D36">
        <v>73.695448999999996</v>
      </c>
      <c r="E36">
        <v>33.273094999999998</v>
      </c>
      <c r="F36">
        <v>23.291167000000002</v>
      </c>
      <c r="G36">
        <v>4.9041513368</v>
      </c>
      <c r="H36">
        <v>1208.5453600000001</v>
      </c>
      <c r="I36">
        <v>0</v>
      </c>
      <c r="J36" t="s">
        <v>42</v>
      </c>
      <c r="K36">
        <f>((parameters!$B$3/2)/inputs_df!E36)+((parameters!$B$3/2)/inputs_df!F36)</f>
        <v>18.247261022034195</v>
      </c>
      <c r="L36">
        <f t="shared" si="0"/>
        <v>22052.642640888283</v>
      </c>
    </row>
    <row r="37" spans="1:12" x14ac:dyDescent="0.3">
      <c r="A37">
        <v>36</v>
      </c>
      <c r="B37">
        <v>2750</v>
      </c>
      <c r="C37">
        <v>2750</v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  <c r="J37" t="s">
        <v>10</v>
      </c>
      <c r="K37">
        <v>0</v>
      </c>
      <c r="L37">
        <f t="shared" si="0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J7" sqref="J7"/>
    </sheetView>
  </sheetViews>
  <sheetFormatPr defaultRowHeight="14.4" x14ac:dyDescent="0.3"/>
  <sheetData>
    <row r="1" spans="1:6" x14ac:dyDescent="0.3">
      <c r="A1" s="1" t="s">
        <v>43</v>
      </c>
      <c r="B1" s="1" t="s">
        <v>1</v>
      </c>
      <c r="C1" s="1" t="s">
        <v>2</v>
      </c>
      <c r="D1" s="1" t="s">
        <v>44</v>
      </c>
      <c r="E1" s="1" t="s">
        <v>45</v>
      </c>
      <c r="F1" s="1" t="s">
        <v>46</v>
      </c>
    </row>
    <row r="2" spans="1:6" x14ac:dyDescent="0.3">
      <c r="A2" t="s">
        <v>47</v>
      </c>
      <c r="B2">
        <v>3</v>
      </c>
      <c r="C2">
        <v>0</v>
      </c>
      <c r="D2">
        <v>15</v>
      </c>
      <c r="E2">
        <v>0</v>
      </c>
      <c r="F2">
        <v>0</v>
      </c>
    </row>
    <row r="3" spans="1:6" x14ac:dyDescent="0.3">
      <c r="A3" t="s">
        <v>48</v>
      </c>
      <c r="B3">
        <v>5</v>
      </c>
      <c r="C3">
        <v>0</v>
      </c>
      <c r="D3">
        <v>0</v>
      </c>
      <c r="E3">
        <v>15</v>
      </c>
      <c r="F3">
        <v>15</v>
      </c>
    </row>
    <row r="4" spans="1:6" x14ac:dyDescent="0.3">
      <c r="A4" t="s">
        <v>49</v>
      </c>
      <c r="B4">
        <v>1</v>
      </c>
      <c r="C4">
        <v>1</v>
      </c>
      <c r="D4">
        <v>0</v>
      </c>
      <c r="E4">
        <v>15</v>
      </c>
      <c r="F4">
        <v>15</v>
      </c>
    </row>
    <row r="5" spans="1:6" x14ac:dyDescent="0.3">
      <c r="A5" t="s">
        <v>50</v>
      </c>
      <c r="B5">
        <v>3</v>
      </c>
      <c r="C5">
        <v>2</v>
      </c>
      <c r="D5">
        <v>0</v>
      </c>
      <c r="E5">
        <v>15</v>
      </c>
      <c r="F5">
        <v>15</v>
      </c>
    </row>
    <row r="6" spans="1:6" x14ac:dyDescent="0.3">
      <c r="A6" t="s">
        <v>51</v>
      </c>
      <c r="B6">
        <v>0</v>
      </c>
      <c r="C6">
        <v>3</v>
      </c>
      <c r="D6">
        <v>0</v>
      </c>
      <c r="E6">
        <v>15</v>
      </c>
      <c r="F6">
        <v>15</v>
      </c>
    </row>
    <row r="7" spans="1:6" x14ac:dyDescent="0.3">
      <c r="A7" t="s">
        <v>52</v>
      </c>
      <c r="B7">
        <v>5</v>
      </c>
      <c r="C7">
        <v>3</v>
      </c>
      <c r="D7">
        <v>0</v>
      </c>
      <c r="E7">
        <v>15</v>
      </c>
      <c r="F7">
        <v>15</v>
      </c>
    </row>
    <row r="8" spans="1:6" x14ac:dyDescent="0.3">
      <c r="A8" t="s">
        <v>53</v>
      </c>
      <c r="B8">
        <v>1</v>
      </c>
      <c r="C8">
        <v>4</v>
      </c>
      <c r="D8">
        <v>0</v>
      </c>
      <c r="E8">
        <v>15</v>
      </c>
      <c r="F8">
        <v>15</v>
      </c>
    </row>
    <row r="9" spans="1:6" x14ac:dyDescent="0.3">
      <c r="A9" t="s">
        <v>54</v>
      </c>
      <c r="B9">
        <v>3</v>
      </c>
      <c r="C9">
        <v>4</v>
      </c>
      <c r="D9">
        <v>0</v>
      </c>
      <c r="E9">
        <v>15</v>
      </c>
      <c r="F9">
        <v>15</v>
      </c>
    </row>
    <row r="10" spans="1:6" x14ac:dyDescent="0.3">
      <c r="A10" t="s">
        <v>55</v>
      </c>
      <c r="B10">
        <v>0</v>
      </c>
      <c r="C10">
        <v>5</v>
      </c>
      <c r="D10">
        <v>0</v>
      </c>
      <c r="E10">
        <v>15</v>
      </c>
      <c r="F10">
        <v>15</v>
      </c>
    </row>
    <row r="11" spans="1:6" x14ac:dyDescent="0.3">
      <c r="A11" t="s">
        <v>56</v>
      </c>
      <c r="B11">
        <v>5</v>
      </c>
      <c r="C11">
        <v>5</v>
      </c>
      <c r="D11">
        <v>0</v>
      </c>
      <c r="E11">
        <v>15</v>
      </c>
      <c r="F11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B18" sqref="B18"/>
    </sheetView>
  </sheetViews>
  <sheetFormatPr defaultRowHeight="14.4" x14ac:dyDescent="0.3"/>
  <sheetData>
    <row r="1" spans="1:3" x14ac:dyDescent="0.3">
      <c r="A1" s="1" t="s">
        <v>57</v>
      </c>
      <c r="B1" s="1" t="s">
        <v>58</v>
      </c>
      <c r="C1" s="1" t="s">
        <v>59</v>
      </c>
    </row>
    <row r="2" spans="1:3" x14ac:dyDescent="0.3">
      <c r="A2" t="s">
        <v>60</v>
      </c>
      <c r="B2">
        <v>36</v>
      </c>
      <c r="C2" t="s">
        <v>61</v>
      </c>
    </row>
    <row r="3" spans="1:3" x14ac:dyDescent="0.3">
      <c r="A3" t="s">
        <v>62</v>
      </c>
      <c r="B3">
        <v>500</v>
      </c>
      <c r="C3" t="s">
        <v>63</v>
      </c>
    </row>
    <row r="4" spans="1:3" x14ac:dyDescent="0.3">
      <c r="A4" t="s">
        <v>64</v>
      </c>
      <c r="B4">
        <v>3000</v>
      </c>
      <c r="C4" t="s">
        <v>65</v>
      </c>
    </row>
    <row r="5" spans="1:3" x14ac:dyDescent="0.3">
      <c r="A5" t="s">
        <v>66</v>
      </c>
      <c r="B5">
        <v>250000</v>
      </c>
      <c r="C5" t="s">
        <v>67</v>
      </c>
    </row>
    <row r="6" spans="1:3" x14ac:dyDescent="0.3">
      <c r="A6" t="s">
        <v>68</v>
      </c>
      <c r="B6">
        <v>24</v>
      </c>
      <c r="C6" t="s">
        <v>69</v>
      </c>
    </row>
    <row r="7" spans="1:3" x14ac:dyDescent="0.3">
      <c r="A7" t="s">
        <v>70</v>
      </c>
      <c r="B7">
        <v>36322</v>
      </c>
      <c r="C7" t="s">
        <v>71</v>
      </c>
    </row>
    <row r="8" spans="1:3" x14ac:dyDescent="0.3">
      <c r="A8" t="s">
        <v>72</v>
      </c>
      <c r="B8">
        <v>3.6322E-2</v>
      </c>
      <c r="C8" t="s">
        <v>73</v>
      </c>
    </row>
    <row r="9" spans="1:3" x14ac:dyDescent="0.3">
      <c r="A9" t="s">
        <v>74</v>
      </c>
      <c r="B9">
        <v>9080.5</v>
      </c>
      <c r="C9" t="s">
        <v>73</v>
      </c>
    </row>
    <row r="10" spans="1:3" x14ac:dyDescent="0.3">
      <c r="A10" t="s">
        <v>75</v>
      </c>
      <c r="B10" t="s">
        <v>76</v>
      </c>
      <c r="C10" t="s">
        <v>77</v>
      </c>
    </row>
    <row r="11" spans="1:3" x14ac:dyDescent="0.3">
      <c r="A11" t="s">
        <v>78</v>
      </c>
      <c r="B11">
        <v>166.67</v>
      </c>
    </row>
    <row r="12" spans="1:3" x14ac:dyDescent="0.3">
      <c r="A12" t="s">
        <v>79</v>
      </c>
      <c r="B12">
        <v>2000</v>
      </c>
    </row>
    <row r="13" spans="1:3" x14ac:dyDescent="0.3">
      <c r="A13" t="s">
        <v>80</v>
      </c>
      <c r="B13">
        <v>117.65</v>
      </c>
    </row>
    <row r="14" spans="1:3" x14ac:dyDescent="0.3">
      <c r="A14" t="s">
        <v>81</v>
      </c>
      <c r="B14">
        <v>500</v>
      </c>
    </row>
    <row r="15" spans="1:3" x14ac:dyDescent="0.3">
      <c r="A15" t="s">
        <v>82</v>
      </c>
      <c r="B15">
        <v>15</v>
      </c>
    </row>
    <row r="16" spans="1:3" x14ac:dyDescent="0.3">
      <c r="A16" t="s">
        <v>83</v>
      </c>
      <c r="B16">
        <v>1000</v>
      </c>
    </row>
    <row r="17" spans="1:2" x14ac:dyDescent="0.3">
      <c r="A17" t="s">
        <v>86</v>
      </c>
      <c r="B17">
        <f>204.4618+MAX(inputs_df!K2:K37)</f>
        <v>233.80654901608784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Arş.Gör. Burcu ALTUNOĞLU</cp:lastModifiedBy>
  <dcterms:created xsi:type="dcterms:W3CDTF">2026-04-03T07:14:46Z</dcterms:created>
  <dcterms:modified xsi:type="dcterms:W3CDTF">2026-04-03T15:37:15Z</dcterms:modified>
</cp:coreProperties>
</file>
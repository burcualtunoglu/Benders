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urcualtunoglu/Logicbbd/inputs/"/>
    </mc:Choice>
  </mc:AlternateContent>
  <xr:revisionPtr revIDLastSave="0" documentId="13_ncr:1_{F00104C4-97CF-384D-B6A1-F7C1B2C3011C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K66" i="1"/>
  <c r="K67" i="1"/>
  <c r="K68" i="1"/>
  <c r="K69" i="1"/>
  <c r="K70" i="1"/>
  <c r="K71" i="1"/>
  <c r="K72" i="1"/>
  <c r="K73" i="1"/>
  <c r="K75" i="1"/>
  <c r="K76" i="1"/>
  <c r="K77" i="1"/>
  <c r="K78" i="1"/>
  <c r="K79" i="1"/>
  <c r="K80" i="1"/>
  <c r="K81" i="1"/>
  <c r="K5" i="1"/>
  <c r="K6" i="1"/>
  <c r="K7" i="1"/>
  <c r="L7" i="1" s="1"/>
  <c r="K8" i="1"/>
  <c r="L8" i="1" s="1"/>
  <c r="K9" i="1"/>
  <c r="K10" i="1"/>
  <c r="K11" i="1"/>
  <c r="K12" i="1"/>
  <c r="K13" i="1"/>
  <c r="L13" i="1" s="1"/>
  <c r="K14" i="1"/>
  <c r="L14" i="1" s="1"/>
  <c r="K15" i="1"/>
  <c r="L15" i="1" s="1"/>
  <c r="K16" i="1"/>
  <c r="L16" i="1" s="1"/>
  <c r="K17" i="1"/>
  <c r="K19" i="1"/>
  <c r="L19" i="1" s="1"/>
  <c r="K20" i="1"/>
  <c r="L20" i="1" s="1"/>
  <c r="K21" i="1"/>
  <c r="K22" i="1"/>
  <c r="K23" i="1"/>
  <c r="K24" i="1"/>
  <c r="K25" i="1"/>
  <c r="L25" i="1" s="1"/>
  <c r="K26" i="1"/>
  <c r="L26" i="1" s="1"/>
  <c r="K27" i="1"/>
  <c r="L27" i="1" s="1"/>
  <c r="K28" i="1"/>
  <c r="L28" i="1" s="1"/>
  <c r="K29" i="1"/>
  <c r="K30" i="1"/>
  <c r="K31" i="1"/>
  <c r="L31" i="1" s="1"/>
  <c r="K32" i="1"/>
  <c r="L32" i="1" s="1"/>
  <c r="K33" i="1"/>
  <c r="K34" i="1"/>
  <c r="K35" i="1"/>
  <c r="K36" i="1"/>
  <c r="K37" i="1"/>
  <c r="L37" i="1" s="1"/>
  <c r="K38" i="1"/>
  <c r="L38" i="1" s="1"/>
  <c r="K39" i="1"/>
  <c r="L39" i="1" s="1"/>
  <c r="K40" i="1"/>
  <c r="L40" i="1" s="1"/>
  <c r="K41" i="1"/>
  <c r="K42" i="1"/>
  <c r="K43" i="1"/>
  <c r="L43" i="1" s="1"/>
  <c r="K44" i="1"/>
  <c r="L44" i="1" s="1"/>
  <c r="K45" i="1"/>
  <c r="K46" i="1"/>
  <c r="K47" i="1"/>
  <c r="K48" i="1"/>
  <c r="K49" i="1"/>
  <c r="L49" i="1" s="1"/>
  <c r="K50" i="1"/>
  <c r="L50" i="1" s="1"/>
  <c r="K51" i="1"/>
  <c r="L51" i="1" s="1"/>
  <c r="K52" i="1"/>
  <c r="L52" i="1" s="1"/>
  <c r="K53" i="1"/>
  <c r="K54" i="1"/>
  <c r="K55" i="1"/>
  <c r="L55" i="1" s="1"/>
  <c r="K56" i="1"/>
  <c r="L56" i="1" s="1"/>
  <c r="K57" i="1"/>
  <c r="K58" i="1"/>
  <c r="K59" i="1"/>
  <c r="K60" i="1"/>
  <c r="L61" i="1"/>
  <c r="K62" i="1"/>
  <c r="L62" i="1" s="1"/>
  <c r="K63" i="1"/>
  <c r="L63" i="1" s="1"/>
  <c r="K64" i="1"/>
  <c r="L64" i="1" s="1"/>
  <c r="K65" i="1"/>
  <c r="K4" i="1"/>
  <c r="L4" i="1"/>
  <c r="L65" i="1"/>
  <c r="L60" i="1"/>
  <c r="L59" i="1"/>
  <c r="L58" i="1"/>
  <c r="L57" i="1"/>
  <c r="L54" i="1"/>
  <c r="L53" i="1"/>
  <c r="L48" i="1"/>
  <c r="L47" i="1"/>
  <c r="L46" i="1"/>
  <c r="L45" i="1"/>
  <c r="L42" i="1"/>
  <c r="L41" i="1"/>
  <c r="L36" i="1"/>
  <c r="L35" i="1"/>
  <c r="L34" i="1"/>
  <c r="L33" i="1"/>
  <c r="L30" i="1"/>
  <c r="L29" i="1"/>
  <c r="L24" i="1"/>
  <c r="L23" i="1"/>
  <c r="L22" i="1"/>
  <c r="L21" i="1"/>
  <c r="L18" i="1"/>
  <c r="L17" i="1"/>
  <c r="L12" i="1"/>
  <c r="L11" i="1"/>
  <c r="L10" i="1"/>
  <c r="L9" i="1"/>
  <c r="L6" i="1"/>
  <c r="L5" i="1"/>
  <c r="L3" i="1"/>
</calcChain>
</file>

<file path=xl/sharedStrings.xml><?xml version="1.0" encoding="utf-8"?>
<sst xmlns="http://schemas.openxmlformats.org/spreadsheetml/2006/main" count="138" uniqueCount="130">
  <si>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</si>
  <si>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</si>
  <si>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</si>
  <si>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</si>
  <si>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</si>
  <si>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</si>
  <si>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</si>
  <si>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</si>
  <si>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</si>
  <si>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</si>
  <si>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</si>
  <si>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[12, 4]</t>
  </si>
  <si>
    <t>[13, 3, 5]</t>
  </si>
  <si>
    <t>[14, 4, 6]</t>
  </si>
  <si>
    <t>[15, 5, 7]</t>
  </si>
  <si>
    <t>[16, 6, 8]</t>
  </si>
  <si>
    <t>[7, 9]</t>
  </si>
  <si>
    <t>[18, 8]</t>
  </si>
  <si>
    <t>[19, 11]</t>
  </si>
  <si>
    <t>[20, 10, 12]</t>
  </si>
  <si>
    <t>[3, 21, 11, 13]</t>
  </si>
  <si>
    <t>[4, 22, 12, 14]</t>
  </si>
  <si>
    <t>[5, 23, 13, 15]</t>
  </si>
  <si>
    <t>[6, 24, 14, 16]</t>
  </si>
  <si>
    <t>[7, 25, 15]</t>
  </si>
  <si>
    <t>[9, 27]</t>
  </si>
  <si>
    <t>[10, 28, 20]</t>
  </si>
  <si>
    <t>[11, 29, 19, 21]</t>
  </si>
  <si>
    <t>[12, 30, 20, 22]</t>
  </si>
  <si>
    <t>[13, 31, 21]</t>
  </si>
  <si>
    <t>[14, 32, 24]</t>
  </si>
  <si>
    <t>[15, 33, 23, 25]</t>
  </si>
  <si>
    <t>[16, 34, 24, 26]</t>
  </si>
  <si>
    <t>[35, 25, 27]</t>
  </si>
  <si>
    <t>[18, 36, 26]</t>
  </si>
  <si>
    <t>[19, 37, 29]</t>
  </si>
  <si>
    <t>[20, 38, 28, 30]</t>
  </si>
  <si>
    <t>[21, 39, 29, 31]</t>
  </si>
  <si>
    <t>[22, 40, 30, 32]</t>
  </si>
  <si>
    <t>[23, 41, 31, 33]</t>
  </si>
  <si>
    <t>[24, 42, 32, 34]</t>
  </si>
  <si>
    <t>[25, 43, 33, 35]</t>
  </si>
  <si>
    <t>[26, 44, 34, 36]</t>
  </si>
  <si>
    <t>[27, 45, 35]</t>
  </si>
  <si>
    <t>[28, 46, 38]</t>
  </si>
  <si>
    <t>[29, 47, 37, 39]</t>
  </si>
  <si>
    <t>[30, 48, 38, 40]</t>
  </si>
  <si>
    <t>[31, 39, 41]</t>
  </si>
  <si>
    <t>[32, 50, 40, 42]</t>
  </si>
  <si>
    <t>[33, 51, 41, 43]</t>
  </si>
  <si>
    <t>[34, 52, 42, 44]</t>
  </si>
  <si>
    <t>[35, 53, 43, 45]</t>
  </si>
  <si>
    <t>[36, 54, 44]</t>
  </si>
  <si>
    <t>[37, 55, 47]</t>
  </si>
  <si>
    <t>[38, 56, 46, 48]</t>
  </si>
  <si>
    <t>[39, 57, 47, 49]</t>
  </si>
  <si>
    <t>[58, 48, 50]</t>
  </si>
  <si>
    <t>[41, 59, 49, 51]</t>
  </si>
  <si>
    <t>[42, 50, 52]</t>
  </si>
  <si>
    <t>[43, 51, 53]</t>
  </si>
  <si>
    <t>[44, 62, 52, 54]</t>
  </si>
  <si>
    <t>[45, 63, 53]</t>
  </si>
  <si>
    <t>[46, 64, 56]</t>
  </si>
  <si>
    <t>[47, 65, 55, 57]</t>
  </si>
  <si>
    <t>[48, 66, 56, 58]</t>
  </si>
  <si>
    <t>[49, 67, 57, 59]</t>
  </si>
  <si>
    <t>[50, 68, 58]</t>
  </si>
  <si>
    <t>[70, 62]</t>
  </si>
  <si>
    <t>[53, 71, 61, 63]</t>
  </si>
  <si>
    <t>[54, 72, 62]</t>
  </si>
  <si>
    <t>[55, 65]</t>
  </si>
  <si>
    <t>[56, 74, 64, 66]</t>
  </si>
  <si>
    <t>[57, 75, 65]</t>
  </si>
  <si>
    <t>[58, 76, 68]</t>
  </si>
  <si>
    <t>[59, 77, 67]</t>
  </si>
  <si>
    <t>[70]</t>
  </si>
  <si>
    <t>[61, 79, 69]</t>
  </si>
  <si>
    <t>[62, 80, 72]</t>
  </si>
  <si>
    <t>[63, 71]</t>
  </si>
  <si>
    <t>[65, 75]</t>
  </si>
  <si>
    <t>[66, 74, 76]</t>
  </si>
  <si>
    <t>[67, 75, 77]</t>
  </si>
  <si>
    <t>[68, 76, 78]</t>
  </si>
  <si>
    <t>[77, 79]</t>
  </si>
  <si>
    <t>[70, 78, 80]</t>
  </si>
  <si>
    <t>[71, 79]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</si>
  <si>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</si>
  <si>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</si>
  <si>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</si>
  <si>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</si>
  <si>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</si>
  <si>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</si>
  <si>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</si>
  <si>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</si>
  <si>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</si>
  <si>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</si>
  <si>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</si>
  <si>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</si>
  <si>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</si>
  <si>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</si>
  <si>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</si>
  <si>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</si>
  <si>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</si>
  <si>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</si>
  <si>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</si>
  <si>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</si>
  <si>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</si>
  <si>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</si>
  <si>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</si>
  <si>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</si>
  <si>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</si>
  <si>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</si>
  <si>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</si>
  <si>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</si>
  <si>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</si>
  <si>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</si>
  <si>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</si>
  <si>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</si>
  <si>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</si>
  <si>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68-69;66-67;70-71;52-61;69-78;22-23;40-49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</si>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</sst>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topLeftCell="A65" workbookViewId="0">
      <selection activeCell="N83" sqref="N83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127</v>
      </c>
      <c r="L1" s="2" t="s">
        <v>128</v>
      </c>
    </row>
    <row r="2" spans="1:12" x14ac:dyDescent="0.2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 t="s">
        <v>10</v>
      </c>
      <c r="K2">
        <v>0</v>
      </c>
      <c r="L2">
        <v>0</v>
      </c>
    </row>
    <row r="3" spans="1:12" x14ac:dyDescent="0.2">
      <c r="A3">
        <v>2</v>
      </c>
      <c r="B3">
        <v>750</v>
      </c>
      <c r="C3">
        <v>250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 t="s">
        <v>10</v>
      </c>
      <c r="K3">
        <v>0</v>
      </c>
      <c r="L3">
        <f>H3*K3</f>
        <v>0</v>
      </c>
    </row>
    <row r="4" spans="1:12" x14ac:dyDescent="0.2">
      <c r="A4">
        <v>3</v>
      </c>
      <c r="B4">
        <v>1250</v>
      </c>
      <c r="C4">
        <v>250</v>
      </c>
      <c r="D4">
        <v>71.670800999999997</v>
      </c>
      <c r="E4">
        <v>45.833691000000002</v>
      </c>
      <c r="F4">
        <v>32.083584000000002</v>
      </c>
      <c r="G4">
        <v>6.5698747486000002</v>
      </c>
      <c r="H4">
        <v>1664.7713329999999</v>
      </c>
      <c r="I4">
        <v>0</v>
      </c>
      <c r="J4" t="s">
        <v>11</v>
      </c>
      <c r="K4">
        <f>((parameters!$B$3/2)/inputs_df!E4)+((parameters!$B$3/2)/inputs_df!F4)</f>
        <v>13.246649801853522</v>
      </c>
      <c r="L4">
        <f t="shared" ref="L4:L67" si="0">H4*K4</f>
        <v>22052.642848415871</v>
      </c>
    </row>
    <row r="5" spans="1:12" x14ac:dyDescent="0.2">
      <c r="A5">
        <v>4</v>
      </c>
      <c r="B5">
        <v>1750</v>
      </c>
      <c r="C5">
        <v>250</v>
      </c>
      <c r="D5">
        <v>54.733201999999999</v>
      </c>
      <c r="E5">
        <v>41.005133999999998</v>
      </c>
      <c r="F5">
        <v>28.703593999999999</v>
      </c>
      <c r="G5">
        <v>4.4886845743999997</v>
      </c>
      <c r="H5">
        <v>1489.3884860000001</v>
      </c>
      <c r="I5">
        <v>0</v>
      </c>
      <c r="J5" t="s">
        <v>12</v>
      </c>
      <c r="K5">
        <f>((parameters!$B$3/2)/inputs_df!E5)+((parameters!$B$3/2)/inputs_df!F5)</f>
        <v>14.806508244903391</v>
      </c>
      <c r="L5">
        <f t="shared" si="0"/>
        <v>22052.642897823178</v>
      </c>
    </row>
    <row r="6" spans="1:12" x14ac:dyDescent="0.2">
      <c r="A6">
        <v>5</v>
      </c>
      <c r="B6">
        <v>2250</v>
      </c>
      <c r="C6">
        <v>250</v>
      </c>
      <c r="D6">
        <v>43.529997999999999</v>
      </c>
      <c r="E6">
        <v>41.045717000000003</v>
      </c>
      <c r="F6">
        <v>28.732002000000001</v>
      </c>
      <c r="G6">
        <v>3.5734399185000001</v>
      </c>
      <c r="H6">
        <v>1490.8625199999999</v>
      </c>
      <c r="I6">
        <v>0</v>
      </c>
      <c r="J6" t="s">
        <v>13</v>
      </c>
      <c r="K6">
        <f>((parameters!$B$3/2)/inputs_df!E6)+((parameters!$B$3/2)/inputs_df!F6)</f>
        <v>14.791868683883461</v>
      </c>
      <c r="L6">
        <f t="shared" si="0"/>
        <v>22052.64262156358</v>
      </c>
    </row>
    <row r="7" spans="1:12" x14ac:dyDescent="0.2">
      <c r="A7">
        <v>6</v>
      </c>
      <c r="B7">
        <v>2750</v>
      </c>
      <c r="C7">
        <v>250</v>
      </c>
      <c r="D7">
        <v>35.405712000000001</v>
      </c>
      <c r="E7">
        <v>44.728656999999998</v>
      </c>
      <c r="F7">
        <v>31.31006</v>
      </c>
      <c r="G7">
        <v>3.1672999100000001</v>
      </c>
      <c r="H7">
        <v>1624.63427</v>
      </c>
      <c r="I7">
        <v>0</v>
      </c>
      <c r="J7" t="s">
        <v>14</v>
      </c>
      <c r="K7">
        <f>((parameters!$B$3/2)/inputs_df!E7)+((parameters!$B$3/2)/inputs_df!F7)</f>
        <v>13.57391204484839</v>
      </c>
      <c r="L7">
        <f t="shared" si="0"/>
        <v>22052.642686026473</v>
      </c>
    </row>
    <row r="8" spans="1:12" x14ac:dyDescent="0.2">
      <c r="A8">
        <v>7</v>
      </c>
      <c r="B8">
        <v>3250</v>
      </c>
      <c r="C8">
        <v>250</v>
      </c>
      <c r="D8">
        <v>25.724515</v>
      </c>
      <c r="E8">
        <v>47.283585000000002</v>
      </c>
      <c r="F8">
        <v>33.098509</v>
      </c>
      <c r="G8">
        <v>2.4326945694000002</v>
      </c>
      <c r="H8">
        <v>1717.434356</v>
      </c>
      <c r="I8">
        <v>0</v>
      </c>
      <c r="J8" t="s">
        <v>15</v>
      </c>
      <c r="K8">
        <f>((parameters!$B$3/2)/inputs_df!E8)+((parameters!$B$3/2)/inputs_df!F8)</f>
        <v>12.840457476691062</v>
      </c>
      <c r="L8">
        <f t="shared" si="0"/>
        <v>22052.6428172263</v>
      </c>
    </row>
    <row r="9" spans="1:12" x14ac:dyDescent="0.2">
      <c r="A9">
        <v>8</v>
      </c>
      <c r="B9">
        <v>3750</v>
      </c>
      <c r="C9">
        <v>250</v>
      </c>
      <c r="D9">
        <v>20</v>
      </c>
      <c r="E9">
        <v>45.754983000000003</v>
      </c>
      <c r="F9">
        <v>32.028488000000003</v>
      </c>
      <c r="G9">
        <v>1.8301993218999999</v>
      </c>
      <c r="H9">
        <v>1661.9124939999999</v>
      </c>
      <c r="I9">
        <v>1</v>
      </c>
      <c r="J9" t="s">
        <v>16</v>
      </c>
      <c r="K9">
        <f>((parameters!$B$3/2)/inputs_df!E9)+((parameters!$B$3/2)/inputs_df!F9)</f>
        <v>13.269436866754727</v>
      </c>
      <c r="L9">
        <f t="shared" si="0"/>
        <v>22052.642917203895</v>
      </c>
    </row>
    <row r="10" spans="1:12" x14ac:dyDescent="0.2">
      <c r="A10">
        <v>9</v>
      </c>
      <c r="B10">
        <v>4250</v>
      </c>
      <c r="C10">
        <v>250</v>
      </c>
      <c r="D10">
        <v>21.027307</v>
      </c>
      <c r="E10">
        <v>42.530346000000002</v>
      </c>
      <c r="F10">
        <v>29.771242000000001</v>
      </c>
      <c r="G10">
        <v>1.788597255</v>
      </c>
      <c r="H10">
        <v>1544.787227</v>
      </c>
      <c r="I10">
        <v>0</v>
      </c>
      <c r="J10" t="s">
        <v>17</v>
      </c>
      <c r="K10">
        <f>((parameters!$B$3/2)/inputs_df!E10)+((parameters!$B$3/2)/inputs_df!F10)</f>
        <v>14.275521284075715</v>
      </c>
      <c r="L10">
        <f t="shared" si="0"/>
        <v>22052.642938406803</v>
      </c>
    </row>
    <row r="11" spans="1:12" x14ac:dyDescent="0.2">
      <c r="A11">
        <v>10</v>
      </c>
      <c r="B11">
        <v>250</v>
      </c>
      <c r="C11">
        <v>750</v>
      </c>
      <c r="D11">
        <v>82.500608</v>
      </c>
      <c r="E11">
        <v>54.192442999999997</v>
      </c>
      <c r="F11">
        <v>37.934710000000003</v>
      </c>
      <c r="G11">
        <v>8.9418190021000008</v>
      </c>
      <c r="H11">
        <v>1968.3779239999999</v>
      </c>
      <c r="I11">
        <v>0</v>
      </c>
      <c r="J11" t="s">
        <v>18</v>
      </c>
      <c r="K11">
        <f>((parameters!$B$3/2)/inputs_df!E11)+((parameters!$B$3/2)/inputs_df!F11)</f>
        <v>11.203459827126162</v>
      </c>
      <c r="L11">
        <f t="shared" si="0"/>
        <v>22052.642996135994</v>
      </c>
    </row>
    <row r="12" spans="1:12" x14ac:dyDescent="0.2">
      <c r="A12">
        <v>11</v>
      </c>
      <c r="B12">
        <v>750</v>
      </c>
      <c r="C12">
        <v>750</v>
      </c>
      <c r="D12">
        <v>71.015140000000002</v>
      </c>
      <c r="E12">
        <v>53.274704999999997</v>
      </c>
      <c r="F12">
        <v>37.292293999999998</v>
      </c>
      <c r="G12">
        <v>7.566621295</v>
      </c>
      <c r="H12">
        <v>1935.0438489999999</v>
      </c>
      <c r="I12">
        <v>1</v>
      </c>
      <c r="J12" t="s">
        <v>19</v>
      </c>
      <c r="K12">
        <f>((parameters!$B$3/2)/inputs_df!E12)+((parameters!$B$3/2)/inputs_df!F12)</f>
        <v>11.396456392474256</v>
      </c>
      <c r="L12">
        <f t="shared" si="0"/>
        <v>22052.642842654037</v>
      </c>
    </row>
    <row r="13" spans="1:12" x14ac:dyDescent="0.2">
      <c r="A13">
        <v>12</v>
      </c>
      <c r="B13">
        <v>1250</v>
      </c>
      <c r="C13">
        <v>750</v>
      </c>
      <c r="D13">
        <v>53.966275000000003</v>
      </c>
      <c r="E13">
        <v>50.173318999999999</v>
      </c>
      <c r="F13">
        <v>35.121322999999997</v>
      </c>
      <c r="G13">
        <v>5.4153341641999999</v>
      </c>
      <c r="H13">
        <v>1822.3952750000001</v>
      </c>
      <c r="I13">
        <v>0</v>
      </c>
      <c r="J13" t="s">
        <v>20</v>
      </c>
      <c r="K13">
        <f>((parameters!$B$3/2)/inputs_df!E13)+((parameters!$B$3/2)/inputs_df!F13)</f>
        <v>12.100910848523036</v>
      </c>
      <c r="L13">
        <f t="shared" si="0"/>
        <v>22052.642753544624</v>
      </c>
    </row>
    <row r="14" spans="1:12" x14ac:dyDescent="0.2">
      <c r="A14">
        <v>13</v>
      </c>
      <c r="B14">
        <v>1750</v>
      </c>
      <c r="C14">
        <v>750</v>
      </c>
      <c r="D14">
        <v>41.190888999999999</v>
      </c>
      <c r="E14">
        <v>46.970477000000002</v>
      </c>
      <c r="F14">
        <v>32.879334</v>
      </c>
      <c r="G14">
        <v>3.8695113942999999</v>
      </c>
      <c r="H14">
        <v>1706.0616649999999</v>
      </c>
      <c r="I14">
        <v>0</v>
      </c>
      <c r="J14" t="s">
        <v>21</v>
      </c>
      <c r="K14">
        <f>((parameters!$B$3/2)/inputs_df!E14)+((parameters!$B$3/2)/inputs_df!F14)</f>
        <v>12.926052593773623</v>
      </c>
      <c r="L14">
        <f t="shared" si="0"/>
        <v>22052.642810010995</v>
      </c>
    </row>
    <row r="15" spans="1:12" x14ac:dyDescent="0.2">
      <c r="A15">
        <v>14</v>
      </c>
      <c r="B15">
        <v>2250</v>
      </c>
      <c r="C15">
        <v>750</v>
      </c>
      <c r="D15">
        <v>38.303016999999997</v>
      </c>
      <c r="E15">
        <v>46.926175999999998</v>
      </c>
      <c r="F15">
        <v>32.848323000000001</v>
      </c>
      <c r="G15">
        <v>3.5948282343</v>
      </c>
      <c r="H15">
        <v>1704.452554</v>
      </c>
      <c r="I15">
        <v>0</v>
      </c>
      <c r="J15" t="s">
        <v>22</v>
      </c>
      <c r="K15">
        <f>((parameters!$B$3/2)/inputs_df!E15)+((parameters!$B$3/2)/inputs_df!F15)</f>
        <v>12.938255597842746</v>
      </c>
      <c r="L15">
        <f t="shared" si="0"/>
        <v>22052.642798047866</v>
      </c>
    </row>
    <row r="16" spans="1:12" x14ac:dyDescent="0.2">
      <c r="A16">
        <v>15</v>
      </c>
      <c r="B16">
        <v>2750</v>
      </c>
      <c r="C16">
        <v>750</v>
      </c>
      <c r="D16">
        <v>38.472327</v>
      </c>
      <c r="E16">
        <v>49.593299999999999</v>
      </c>
      <c r="F16">
        <v>34.715310000000002</v>
      </c>
      <c r="G16">
        <v>3.8159393220000002</v>
      </c>
      <c r="H16">
        <v>1801.3278459999999</v>
      </c>
      <c r="I16">
        <v>0</v>
      </c>
      <c r="J16" t="s">
        <v>23</v>
      </c>
      <c r="K16">
        <f>((parameters!$B$3/2)/inputs_df!E16)+((parameters!$B$3/2)/inputs_df!F16)</f>
        <v>12.242437126443635</v>
      </c>
      <c r="L16">
        <f t="shared" si="0"/>
        <v>22052.642898767142</v>
      </c>
    </row>
    <row r="17" spans="1:12" x14ac:dyDescent="0.2">
      <c r="A17">
        <v>16</v>
      </c>
      <c r="B17">
        <v>3250</v>
      </c>
      <c r="C17">
        <v>750</v>
      </c>
      <c r="D17">
        <v>33.314042000000001</v>
      </c>
      <c r="E17">
        <v>51.224189000000003</v>
      </c>
      <c r="F17">
        <v>35.856932</v>
      </c>
      <c r="G17">
        <v>3.4129695128000002</v>
      </c>
      <c r="H17">
        <v>1860.5649900000001</v>
      </c>
      <c r="I17">
        <v>0</v>
      </c>
      <c r="J17" t="s">
        <v>24</v>
      </c>
      <c r="K17">
        <f>((parameters!$B$3/2)/inputs_df!E17)+((parameters!$B$3/2)/inputs_df!F17)</f>
        <v>11.85265929990463</v>
      </c>
      <c r="L17">
        <f t="shared" si="0"/>
        <v>22052.642931800467</v>
      </c>
    </row>
    <row r="18" spans="1:12" x14ac:dyDescent="0.2">
      <c r="A18">
        <v>17</v>
      </c>
      <c r="B18">
        <v>3750</v>
      </c>
      <c r="C18">
        <v>750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 t="s">
        <v>10</v>
      </c>
      <c r="K18">
        <v>0</v>
      </c>
      <c r="L18">
        <f t="shared" si="0"/>
        <v>0</v>
      </c>
    </row>
    <row r="19" spans="1:12" x14ac:dyDescent="0.2">
      <c r="A19">
        <v>18</v>
      </c>
      <c r="B19">
        <v>4250</v>
      </c>
      <c r="C19">
        <v>750</v>
      </c>
      <c r="D19">
        <v>28.307390000000002</v>
      </c>
      <c r="E19">
        <v>45.996305</v>
      </c>
      <c r="F19">
        <v>32.197414000000002</v>
      </c>
      <c r="G19">
        <v>2.6040706948999999</v>
      </c>
      <c r="H19">
        <v>1670.6777979999999</v>
      </c>
      <c r="I19">
        <v>0</v>
      </c>
      <c r="J19" t="s">
        <v>25</v>
      </c>
      <c r="K19">
        <f>((parameters!$B$3/2)/inputs_df!E19)+((parameters!$B$3/2)/inputs_df!F19)</f>
        <v>13.199817933129959</v>
      </c>
      <c r="L19">
        <f t="shared" si="0"/>
        <v>22052.64275852247</v>
      </c>
    </row>
    <row r="20" spans="1:12" x14ac:dyDescent="0.2">
      <c r="A20">
        <v>19</v>
      </c>
      <c r="B20">
        <v>250</v>
      </c>
      <c r="C20">
        <v>1250</v>
      </c>
      <c r="D20">
        <v>67.807158000000001</v>
      </c>
      <c r="E20">
        <v>52.751421999999998</v>
      </c>
      <c r="F20">
        <v>36.925995999999998</v>
      </c>
      <c r="G20">
        <v>7.1538481147999997</v>
      </c>
      <c r="H20">
        <v>1916.037165</v>
      </c>
      <c r="I20">
        <v>0</v>
      </c>
      <c r="J20" t="s">
        <v>26</v>
      </c>
      <c r="K20">
        <f>((parameters!$B$3/2)/inputs_df!E20)+((parameters!$B$3/2)/inputs_df!F20)</f>
        <v>11.509506821252032</v>
      </c>
      <c r="L20">
        <f t="shared" si="0"/>
        <v>22052.642820339905</v>
      </c>
    </row>
    <row r="21" spans="1:12" x14ac:dyDescent="0.2">
      <c r="A21">
        <v>20</v>
      </c>
      <c r="B21">
        <v>750</v>
      </c>
      <c r="C21">
        <v>1250</v>
      </c>
      <c r="D21">
        <v>52.818739999999998</v>
      </c>
      <c r="E21">
        <v>53.843440000000001</v>
      </c>
      <c r="F21">
        <v>37.690407999999998</v>
      </c>
      <c r="G21">
        <v>5.6878853698</v>
      </c>
      <c r="H21">
        <v>1955.701433</v>
      </c>
      <c r="I21">
        <v>0</v>
      </c>
      <c r="J21" t="s">
        <v>27</v>
      </c>
      <c r="K21">
        <f>((parameters!$B$3/2)/inputs_df!E21)+((parameters!$B$3/2)/inputs_df!F21)</f>
        <v>11.276078518438961</v>
      </c>
      <c r="L21">
        <f t="shared" si="0"/>
        <v>22052.642917131594</v>
      </c>
    </row>
    <row r="22" spans="1:12" x14ac:dyDescent="0.2">
      <c r="A22">
        <v>21</v>
      </c>
      <c r="B22">
        <v>1250</v>
      </c>
      <c r="C22">
        <v>1250</v>
      </c>
      <c r="D22">
        <v>33.539155999999998</v>
      </c>
      <c r="E22">
        <v>53.339208999999997</v>
      </c>
      <c r="F22">
        <v>37.337446999999997</v>
      </c>
      <c r="G22">
        <v>3.5779040975999998</v>
      </c>
      <c r="H22">
        <v>1937.3867660000001</v>
      </c>
      <c r="I22">
        <v>0</v>
      </c>
      <c r="J22" t="s">
        <v>28</v>
      </c>
      <c r="K22">
        <f>((parameters!$B$3/2)/inputs_df!E22)+((parameters!$B$3/2)/inputs_df!F22)</f>
        <v>11.382674430870665</v>
      </c>
      <c r="L22">
        <f t="shared" si="0"/>
        <v>22052.642804055409</v>
      </c>
    </row>
    <row r="23" spans="1:12" x14ac:dyDescent="0.2">
      <c r="A23">
        <v>22</v>
      </c>
      <c r="B23">
        <v>1750</v>
      </c>
      <c r="C23">
        <v>1250</v>
      </c>
      <c r="D23">
        <v>25.406884000000002</v>
      </c>
      <c r="E23">
        <v>51.574865000000003</v>
      </c>
      <c r="F23">
        <v>36.102404999999997</v>
      </c>
      <c r="G23">
        <v>2.6207131881999999</v>
      </c>
      <c r="H23">
        <v>1873.3022289999999</v>
      </c>
      <c r="I23">
        <v>0</v>
      </c>
      <c r="J23" t="s">
        <v>29</v>
      </c>
      <c r="K23">
        <f>((parameters!$B$3/2)/inputs_df!E23)+((parameters!$B$3/2)/inputs_df!F23)</f>
        <v>11.772068857361131</v>
      </c>
      <c r="L23">
        <f t="shared" si="0"/>
        <v>22052.642830436089</v>
      </c>
    </row>
    <row r="24" spans="1:12" x14ac:dyDescent="0.2">
      <c r="A24">
        <v>23</v>
      </c>
      <c r="B24">
        <v>2250</v>
      </c>
      <c r="C24">
        <v>1250</v>
      </c>
      <c r="D24">
        <v>34.312888999999998</v>
      </c>
      <c r="E24">
        <v>51.561585999999998</v>
      </c>
      <c r="F24">
        <v>36.093110000000003</v>
      </c>
      <c r="G24">
        <v>3.5384539699999999</v>
      </c>
      <c r="H24">
        <v>1872.819927</v>
      </c>
      <c r="I24">
        <v>0</v>
      </c>
      <c r="J24" t="s">
        <v>30</v>
      </c>
      <c r="K24">
        <f>((parameters!$B$3/2)/inputs_df!E24)+((parameters!$B$3/2)/inputs_df!F24)</f>
        <v>11.77510053941835</v>
      </c>
      <c r="L24">
        <f t="shared" si="0"/>
        <v>22052.642932651135</v>
      </c>
    </row>
    <row r="25" spans="1:12" x14ac:dyDescent="0.2">
      <c r="A25">
        <v>24</v>
      </c>
      <c r="B25">
        <v>2750</v>
      </c>
      <c r="C25">
        <v>1250</v>
      </c>
      <c r="D25">
        <v>47.706310999999999</v>
      </c>
      <c r="E25">
        <v>53.940058999999998</v>
      </c>
      <c r="F25">
        <v>37.758040999999999</v>
      </c>
      <c r="G25">
        <v>5.1465624711000002</v>
      </c>
      <c r="H25">
        <v>1959.21082</v>
      </c>
      <c r="I25">
        <v>0</v>
      </c>
      <c r="J25" t="s">
        <v>31</v>
      </c>
      <c r="K25">
        <f>((parameters!$B$3/2)/inputs_df!E25)+((parameters!$B$3/2)/inputs_df!F25)</f>
        <v>11.2558805317672</v>
      </c>
      <c r="L25">
        <f t="shared" si="0"/>
        <v>22052.642926465654</v>
      </c>
    </row>
    <row r="26" spans="1:12" x14ac:dyDescent="0.2">
      <c r="A26">
        <v>25</v>
      </c>
      <c r="B26">
        <v>3250</v>
      </c>
      <c r="C26">
        <v>1250</v>
      </c>
      <c r="D26">
        <v>50.902799999999999</v>
      </c>
      <c r="E26">
        <v>55.868983</v>
      </c>
      <c r="F26">
        <v>39.108288000000002</v>
      </c>
      <c r="G26">
        <v>5.687775383</v>
      </c>
      <c r="H26">
        <v>2029.2732100000001</v>
      </c>
      <c r="I26">
        <v>0</v>
      </c>
      <c r="J26" t="s">
        <v>32</v>
      </c>
      <c r="K26">
        <f>((parameters!$B$3/2)/inputs_df!E26)+((parameters!$B$3/2)/inputs_df!F26)</f>
        <v>10.867261679992858</v>
      </c>
      <c r="L26">
        <f t="shared" si="0"/>
        <v>22052.642993269099</v>
      </c>
    </row>
    <row r="27" spans="1:12" x14ac:dyDescent="0.2">
      <c r="A27">
        <v>26</v>
      </c>
      <c r="B27">
        <v>3750</v>
      </c>
      <c r="C27">
        <v>1250</v>
      </c>
      <c r="D27">
        <v>47.502291999999997</v>
      </c>
      <c r="E27">
        <v>54.791114</v>
      </c>
      <c r="F27">
        <v>38.35378</v>
      </c>
      <c r="G27">
        <v>5.2054070650000002</v>
      </c>
      <c r="H27">
        <v>1990.122852</v>
      </c>
      <c r="I27">
        <v>0</v>
      </c>
      <c r="J27" t="s">
        <v>33</v>
      </c>
      <c r="K27">
        <f>((parameters!$B$3/2)/inputs_df!E27)+((parameters!$B$3/2)/inputs_df!F27)</f>
        <v>11.081046011959101</v>
      </c>
      <c r="L27">
        <f t="shared" si="0"/>
        <v>22052.642892463271</v>
      </c>
    </row>
    <row r="28" spans="1:12" x14ac:dyDescent="0.2">
      <c r="A28">
        <v>27</v>
      </c>
      <c r="B28">
        <v>4250</v>
      </c>
      <c r="C28">
        <v>1250</v>
      </c>
      <c r="D28">
        <v>46.185614999999999</v>
      </c>
      <c r="E28">
        <v>52.171731999999999</v>
      </c>
      <c r="F28">
        <v>36.520212999999998</v>
      </c>
      <c r="G28">
        <v>4.8191670369999997</v>
      </c>
      <c r="H28">
        <v>1894.981655</v>
      </c>
      <c r="I28">
        <v>0</v>
      </c>
      <c r="J28" t="s">
        <v>34</v>
      </c>
      <c r="K28">
        <f>((parameters!$B$3/2)/inputs_df!E28)+((parameters!$B$3/2)/inputs_df!F28)</f>
        <v>11.637391131183168</v>
      </c>
      <c r="L28">
        <f t="shared" si="0"/>
        <v>22052.642705651804</v>
      </c>
    </row>
    <row r="29" spans="1:12" x14ac:dyDescent="0.2">
      <c r="A29">
        <v>28</v>
      </c>
      <c r="B29">
        <v>250</v>
      </c>
      <c r="C29">
        <v>1750</v>
      </c>
      <c r="D29">
        <v>68.244936999999993</v>
      </c>
      <c r="E29">
        <v>50.160502999999999</v>
      </c>
      <c r="F29">
        <v>35.112352000000001</v>
      </c>
      <c r="G29">
        <v>6.8464006562000002</v>
      </c>
      <c r="H29">
        <v>1821.9297730000001</v>
      </c>
      <c r="I29">
        <v>0</v>
      </c>
      <c r="J29" t="s">
        <v>35</v>
      </c>
      <c r="K29">
        <f>((parameters!$B$3/2)/inputs_df!E29)+((parameters!$B$3/2)/inputs_df!F29)</f>
        <v>12.104002588650282</v>
      </c>
      <c r="L29">
        <f t="shared" si="0"/>
        <v>22052.642688731023</v>
      </c>
    </row>
    <row r="30" spans="1:12" x14ac:dyDescent="0.2">
      <c r="A30">
        <v>29</v>
      </c>
      <c r="B30">
        <v>750</v>
      </c>
      <c r="C30">
        <v>1750</v>
      </c>
      <c r="D30">
        <v>49.408178999999997</v>
      </c>
      <c r="E30">
        <v>51.161802999999999</v>
      </c>
      <c r="F30">
        <v>35.813262000000002</v>
      </c>
      <c r="G30">
        <v>5.0556229856000003</v>
      </c>
      <c r="H30">
        <v>1858.2989990000001</v>
      </c>
      <c r="I30">
        <v>0</v>
      </c>
      <c r="J30" t="s">
        <v>36</v>
      </c>
      <c r="K30">
        <f>((parameters!$B$3/2)/inputs_df!E30)+((parameters!$B$3/2)/inputs_df!F30)</f>
        <v>11.867112230976172</v>
      </c>
      <c r="L30">
        <f t="shared" si="0"/>
        <v>22052.642779843678</v>
      </c>
    </row>
    <row r="31" spans="1:12" x14ac:dyDescent="0.2">
      <c r="A31">
        <v>30</v>
      </c>
      <c r="B31">
        <v>1250</v>
      </c>
      <c r="C31">
        <v>1750</v>
      </c>
      <c r="D31">
        <v>26.92709</v>
      </c>
      <c r="E31">
        <v>50.392178000000001</v>
      </c>
      <c r="F31">
        <v>35.274524999999997</v>
      </c>
      <c r="G31">
        <v>2.7138294029000001</v>
      </c>
      <c r="H31">
        <v>1830.3447020000001</v>
      </c>
      <c r="I31">
        <v>0</v>
      </c>
      <c r="J31" t="s">
        <v>37</v>
      </c>
      <c r="K31">
        <f>((parameters!$B$3/2)/inputs_df!E31)+((parameters!$B$3/2)/inputs_df!F31)</f>
        <v>12.048355065998336</v>
      </c>
      <c r="L31">
        <f t="shared" si="0"/>
        <v>22052.642862864916</v>
      </c>
    </row>
    <row r="32" spans="1:12" x14ac:dyDescent="0.2">
      <c r="A32">
        <v>31</v>
      </c>
      <c r="B32">
        <v>1750</v>
      </c>
      <c r="C32">
        <v>1750</v>
      </c>
      <c r="D32">
        <v>21.079177000000001</v>
      </c>
      <c r="E32">
        <v>48.189072000000003</v>
      </c>
      <c r="F32">
        <v>33.732351000000001</v>
      </c>
      <c r="G32">
        <v>2.0315719473999998</v>
      </c>
      <c r="H32">
        <v>1750.3234789999999</v>
      </c>
      <c r="I32">
        <v>0</v>
      </c>
      <c r="J32" t="s">
        <v>38</v>
      </c>
      <c r="K32">
        <f>((parameters!$B$3/2)/inputs_df!E32)+((parameters!$B$3/2)/inputs_df!F32)</f>
        <v>12.599181216652788</v>
      </c>
      <c r="L32">
        <f t="shared" si="0"/>
        <v>22052.642699683158</v>
      </c>
    </row>
    <row r="33" spans="1:12" x14ac:dyDescent="0.2">
      <c r="A33">
        <v>32</v>
      </c>
      <c r="B33">
        <v>2250</v>
      </c>
      <c r="C33">
        <v>1750</v>
      </c>
      <c r="D33">
        <v>38.491289999999999</v>
      </c>
      <c r="E33">
        <v>48.353991000000001</v>
      </c>
      <c r="F33">
        <v>33.847793000000003</v>
      </c>
      <c r="G33">
        <v>3.7224149636999999</v>
      </c>
      <c r="H33">
        <v>1756.3136480000001</v>
      </c>
      <c r="I33">
        <v>0</v>
      </c>
      <c r="J33" t="s">
        <v>39</v>
      </c>
      <c r="K33">
        <f>((parameters!$B$3/2)/inputs_df!E33)+((parameters!$B$3/2)/inputs_df!F33)</f>
        <v>12.556209983346836</v>
      </c>
      <c r="L33">
        <f t="shared" si="0"/>
        <v>22052.642960905901</v>
      </c>
    </row>
    <row r="34" spans="1:12" x14ac:dyDescent="0.2">
      <c r="A34">
        <v>33</v>
      </c>
      <c r="B34">
        <v>2750</v>
      </c>
      <c r="C34">
        <v>1750</v>
      </c>
      <c r="D34">
        <v>62.935291999999997</v>
      </c>
      <c r="E34">
        <v>52.369092999999999</v>
      </c>
      <c r="F34">
        <v>36.658365000000003</v>
      </c>
      <c r="G34">
        <v>6.5917282842000002</v>
      </c>
      <c r="H34">
        <v>1902.150187</v>
      </c>
      <c r="I34">
        <v>0</v>
      </c>
      <c r="J34" t="s">
        <v>40</v>
      </c>
      <c r="K34">
        <f>((parameters!$B$3/2)/inputs_df!E34)+((parameters!$B$3/2)/inputs_df!F34)</f>
        <v>11.593533959373779</v>
      </c>
      <c r="L34">
        <f t="shared" si="0"/>
        <v>22052.642788813686</v>
      </c>
    </row>
    <row r="35" spans="1:12" x14ac:dyDescent="0.2">
      <c r="A35">
        <v>34</v>
      </c>
      <c r="B35">
        <v>3250</v>
      </c>
      <c r="C35">
        <v>1750</v>
      </c>
      <c r="D35">
        <v>74.197344000000001</v>
      </c>
      <c r="E35">
        <v>57.122678000000001</v>
      </c>
      <c r="F35">
        <v>39.985874000000003</v>
      </c>
      <c r="G35">
        <v>8.4767019036000004</v>
      </c>
      <c r="H35">
        <v>2074.809898</v>
      </c>
      <c r="I35">
        <v>0</v>
      </c>
      <c r="J35" t="s">
        <v>41</v>
      </c>
      <c r="K35">
        <f>((parameters!$B$3/2)/inputs_df!E35)+((parameters!$B$3/2)/inputs_df!F35)</f>
        <v>10.6287534786428</v>
      </c>
      <c r="L35">
        <f t="shared" si="0"/>
        <v>22052.642920890012</v>
      </c>
    </row>
    <row r="36" spans="1:12" x14ac:dyDescent="0.2">
      <c r="A36">
        <v>35</v>
      </c>
      <c r="B36">
        <v>3750</v>
      </c>
      <c r="C36">
        <v>1750</v>
      </c>
      <c r="D36">
        <v>72.549659000000005</v>
      </c>
      <c r="E36">
        <v>58.921359000000002</v>
      </c>
      <c r="F36">
        <v>41.244951</v>
      </c>
      <c r="G36">
        <v>8.5494489244</v>
      </c>
      <c r="H36">
        <v>2140.1415860000002</v>
      </c>
      <c r="I36">
        <v>0</v>
      </c>
      <c r="J36" t="s">
        <v>42</v>
      </c>
      <c r="K36">
        <f>((parameters!$B$3/2)/inputs_df!E36)+((parameters!$B$3/2)/inputs_df!F36)</f>
        <v>10.304291517454267</v>
      </c>
      <c r="L36">
        <f t="shared" si="0"/>
        <v>22052.642790770922</v>
      </c>
    </row>
    <row r="37" spans="1:12" x14ac:dyDescent="0.2">
      <c r="A37">
        <v>36</v>
      </c>
      <c r="B37">
        <v>4250</v>
      </c>
      <c r="C37">
        <v>1750</v>
      </c>
      <c r="D37">
        <v>69.249739000000005</v>
      </c>
      <c r="E37">
        <v>58.032080999999998</v>
      </c>
      <c r="F37">
        <v>40.622456999999997</v>
      </c>
      <c r="G37">
        <v>8.0374129095000004</v>
      </c>
      <c r="H37">
        <v>2107.841246</v>
      </c>
      <c r="I37">
        <v>0</v>
      </c>
      <c r="J37" t="s">
        <v>43</v>
      </c>
      <c r="K37">
        <f>((parameters!$B$3/2)/inputs_df!E37)+((parameters!$B$3/2)/inputs_df!F37)</f>
        <v>10.462193394466233</v>
      </c>
      <c r="L37">
        <f t="shared" si="0"/>
        <v>22052.642760484672</v>
      </c>
    </row>
    <row r="38" spans="1:12" x14ac:dyDescent="0.2">
      <c r="A38">
        <v>37</v>
      </c>
      <c r="B38">
        <v>250</v>
      </c>
      <c r="C38">
        <v>2250</v>
      </c>
      <c r="D38">
        <v>81.262625999999997</v>
      </c>
      <c r="E38">
        <v>45.368062000000002</v>
      </c>
      <c r="F38">
        <v>31.757643000000002</v>
      </c>
      <c r="G38">
        <v>7.3734555943000002</v>
      </c>
      <c r="H38">
        <v>1647.858731</v>
      </c>
      <c r="I38">
        <v>0</v>
      </c>
      <c r="J38" t="s">
        <v>44</v>
      </c>
      <c r="K38">
        <f>((parameters!$B$3/2)/inputs_df!E38)+((parameters!$B$3/2)/inputs_df!F38)</f>
        <v>13.382605182500672</v>
      </c>
      <c r="L38">
        <f t="shared" si="0"/>
        <v>22052.642793509582</v>
      </c>
    </row>
    <row r="39" spans="1:12" x14ac:dyDescent="0.2">
      <c r="A39">
        <v>38</v>
      </c>
      <c r="B39">
        <v>750</v>
      </c>
      <c r="C39">
        <v>2250</v>
      </c>
      <c r="D39">
        <v>61.690815999999998</v>
      </c>
      <c r="E39">
        <v>44.679251999999998</v>
      </c>
      <c r="F39">
        <v>31.275476999999999</v>
      </c>
      <c r="G39">
        <v>5.5125990711000004</v>
      </c>
      <c r="H39">
        <v>1622.8398090000001</v>
      </c>
      <c r="I39">
        <v>0</v>
      </c>
      <c r="J39" t="s">
        <v>45</v>
      </c>
      <c r="K39">
        <f>((parameters!$B$3/2)/inputs_df!E39)+((parameters!$B$3/2)/inputs_df!F39)</f>
        <v>13.588921548894778</v>
      </c>
      <c r="L39">
        <f t="shared" si="0"/>
        <v>22052.642850924385</v>
      </c>
    </row>
    <row r="40" spans="1:12" x14ac:dyDescent="0.2">
      <c r="A40">
        <v>39</v>
      </c>
      <c r="B40">
        <v>1250</v>
      </c>
      <c r="C40">
        <v>2250</v>
      </c>
      <c r="D40">
        <v>39.097583</v>
      </c>
      <c r="E40">
        <v>41.410316000000002</v>
      </c>
      <c r="F40">
        <v>28.987221000000002</v>
      </c>
      <c r="G40">
        <v>3.2380865509999999</v>
      </c>
      <c r="H40">
        <v>1504.1055040000001</v>
      </c>
      <c r="I40">
        <v>0</v>
      </c>
      <c r="J40" t="s">
        <v>46</v>
      </c>
      <c r="K40">
        <f>((parameters!$B$3/2)/inputs_df!E40)+((parameters!$B$3/2)/inputs_df!F40)</f>
        <v>14.661633096617692</v>
      </c>
      <c r="L40">
        <f t="shared" si="0"/>
        <v>22052.643038251237</v>
      </c>
    </row>
    <row r="41" spans="1:12" x14ac:dyDescent="0.2">
      <c r="A41">
        <v>40</v>
      </c>
      <c r="B41">
        <v>1750</v>
      </c>
      <c r="C41">
        <v>2250</v>
      </c>
      <c r="D41">
        <v>34.042543999999999</v>
      </c>
      <c r="E41">
        <v>37.298502999999997</v>
      </c>
      <c r="F41">
        <v>26.108951999999999</v>
      </c>
      <c r="G41">
        <v>2.5394718015</v>
      </c>
      <c r="H41">
        <v>1354.7562109999999</v>
      </c>
      <c r="I41">
        <v>0</v>
      </c>
      <c r="J41" t="s">
        <v>47</v>
      </c>
      <c r="K41">
        <f>((parameters!$B$3/2)/inputs_df!E41)+((parameters!$B$3/2)/inputs_df!F41)</f>
        <v>16.277941731622619</v>
      </c>
      <c r="L41">
        <f t="shared" si="0"/>
        <v>22052.642663211835</v>
      </c>
    </row>
    <row r="42" spans="1:12" x14ac:dyDescent="0.2">
      <c r="A42">
        <v>41</v>
      </c>
      <c r="B42">
        <v>2250</v>
      </c>
      <c r="C42">
        <v>2250</v>
      </c>
      <c r="D42">
        <v>52.884784000000003</v>
      </c>
      <c r="E42">
        <v>37.714039</v>
      </c>
      <c r="F42">
        <v>26.399826999999998</v>
      </c>
      <c r="G42">
        <v>3.9889975499000001</v>
      </c>
      <c r="H42">
        <v>1369.8493089999999</v>
      </c>
      <c r="I42">
        <v>0</v>
      </c>
      <c r="J42" t="s">
        <v>48</v>
      </c>
      <c r="K42">
        <f>((parameters!$B$3/2)/inputs_df!E42)+((parameters!$B$3/2)/inputs_df!F42)</f>
        <v>16.098590267707081</v>
      </c>
      <c r="L42">
        <f t="shared" si="0"/>
        <v>22052.642754092671</v>
      </c>
    </row>
    <row r="43" spans="1:12" x14ac:dyDescent="0.2">
      <c r="A43">
        <v>42</v>
      </c>
      <c r="B43">
        <v>2750</v>
      </c>
      <c r="C43">
        <v>2250</v>
      </c>
      <c r="D43">
        <v>79.759535999999997</v>
      </c>
      <c r="E43">
        <v>44.625419000000001</v>
      </c>
      <c r="F43">
        <v>31.237794000000001</v>
      </c>
      <c r="G43">
        <v>7.1186054771</v>
      </c>
      <c r="H43">
        <v>1620.8844859999999</v>
      </c>
      <c r="I43">
        <v>1</v>
      </c>
      <c r="J43" t="s">
        <v>49</v>
      </c>
      <c r="K43">
        <f>((parameters!$B$3/2)/inputs_df!E43)+((parameters!$B$3/2)/inputs_df!F43)</f>
        <v>13.605314252393487</v>
      </c>
      <c r="L43">
        <f t="shared" si="0"/>
        <v>22052.642798859291</v>
      </c>
    </row>
    <row r="44" spans="1:12" x14ac:dyDescent="0.2">
      <c r="A44">
        <v>43</v>
      </c>
      <c r="B44">
        <v>3250</v>
      </c>
      <c r="C44">
        <v>2250</v>
      </c>
      <c r="D44">
        <v>93.305239999999998</v>
      </c>
      <c r="E44">
        <v>53.675713000000002</v>
      </c>
      <c r="F44">
        <v>37.572999000000003</v>
      </c>
      <c r="G44">
        <v>10.016450601900001</v>
      </c>
      <c r="H44">
        <v>1949.6092610000001</v>
      </c>
      <c r="I44">
        <v>0</v>
      </c>
      <c r="J44" t="s">
        <v>50</v>
      </c>
      <c r="K44">
        <f>((parameters!$B$3/2)/inputs_df!E44)+((parameters!$B$3/2)/inputs_df!F44)</f>
        <v>11.311314264113971</v>
      </c>
      <c r="L44">
        <f t="shared" si="0"/>
        <v>22052.643043397999</v>
      </c>
    </row>
    <row r="45" spans="1:12" x14ac:dyDescent="0.2">
      <c r="A45">
        <v>44</v>
      </c>
      <c r="B45">
        <v>3750</v>
      </c>
      <c r="C45">
        <v>2250</v>
      </c>
      <c r="D45">
        <v>90.905710999999997</v>
      </c>
      <c r="E45">
        <v>59.372183</v>
      </c>
      <c r="F45">
        <v>41.560527999999998</v>
      </c>
      <c r="G45">
        <v>10.794541005299999</v>
      </c>
      <c r="H45">
        <v>2156.516431</v>
      </c>
      <c r="I45">
        <v>0</v>
      </c>
      <c r="J45" t="s">
        <v>51</v>
      </c>
      <c r="K45">
        <f>((parameters!$B$3/2)/inputs_df!E45)+((parameters!$B$3/2)/inputs_df!F45)</f>
        <v>10.226049091073325</v>
      </c>
      <c r="L45">
        <f t="shared" si="0"/>
        <v>22052.642889112241</v>
      </c>
    </row>
    <row r="46" spans="1:12" x14ac:dyDescent="0.2">
      <c r="A46">
        <v>45</v>
      </c>
      <c r="B46">
        <v>4250</v>
      </c>
      <c r="C46">
        <v>2250</v>
      </c>
      <c r="D46">
        <v>84.672753</v>
      </c>
      <c r="E46">
        <v>60.69</v>
      </c>
      <c r="F46">
        <v>42.482999999999997</v>
      </c>
      <c r="G46">
        <v>10.277578778700001</v>
      </c>
      <c r="H46">
        <v>2204.3821800000001</v>
      </c>
      <c r="I46">
        <v>0</v>
      </c>
      <c r="J46" t="s">
        <v>52</v>
      </c>
      <c r="K46">
        <f>((parameters!$B$3/2)/inputs_df!E46)+((parameters!$B$3/2)/inputs_df!F46)</f>
        <v>10.004001600640258</v>
      </c>
      <c r="L46">
        <f t="shared" si="0"/>
        <v>22052.642857142862</v>
      </c>
    </row>
    <row r="47" spans="1:12" x14ac:dyDescent="0.2">
      <c r="A47">
        <v>46</v>
      </c>
      <c r="B47">
        <v>250</v>
      </c>
      <c r="C47">
        <v>2750</v>
      </c>
      <c r="D47">
        <v>93.255076000000003</v>
      </c>
      <c r="E47">
        <v>39.174081000000001</v>
      </c>
      <c r="F47">
        <v>27.421856999999999</v>
      </c>
      <c r="G47">
        <v>7.3063637973000004</v>
      </c>
      <c r="H47">
        <v>1422.8809650000001</v>
      </c>
      <c r="I47">
        <v>0</v>
      </c>
      <c r="J47" t="s">
        <v>53</v>
      </c>
      <c r="K47">
        <f>((parameters!$B$3/2)/inputs_df!E47)+((parameters!$B$3/2)/inputs_df!F47)</f>
        <v>15.498585741823801</v>
      </c>
      <c r="L47">
        <f t="shared" si="0"/>
        <v>22052.642636461493</v>
      </c>
    </row>
    <row r="48" spans="1:12" x14ac:dyDescent="0.2">
      <c r="A48">
        <v>47</v>
      </c>
      <c r="B48">
        <v>750</v>
      </c>
      <c r="C48">
        <v>2750</v>
      </c>
      <c r="D48">
        <v>77.499099999999999</v>
      </c>
      <c r="E48">
        <v>37.109324999999998</v>
      </c>
      <c r="F48">
        <v>25.976527999999998</v>
      </c>
      <c r="G48">
        <v>5.7518785918999997</v>
      </c>
      <c r="H48">
        <v>1347.8849049999999</v>
      </c>
      <c r="I48">
        <v>0</v>
      </c>
      <c r="J48" t="s">
        <v>54</v>
      </c>
      <c r="K48">
        <f>((parameters!$B$3/2)/inputs_df!E48)+((parameters!$B$3/2)/inputs_df!F48)</f>
        <v>16.360924114586275</v>
      </c>
      <c r="L48">
        <f t="shared" si="0"/>
        <v>22052.642645901327</v>
      </c>
    </row>
    <row r="49" spans="1:12" x14ac:dyDescent="0.2">
      <c r="A49">
        <v>48</v>
      </c>
      <c r="B49">
        <v>1250</v>
      </c>
      <c r="C49">
        <v>2750</v>
      </c>
      <c r="D49">
        <v>60.191640999999997</v>
      </c>
      <c r="E49">
        <v>31.633215</v>
      </c>
      <c r="F49">
        <v>22.143249999999998</v>
      </c>
      <c r="G49">
        <v>3.8081102219999998</v>
      </c>
      <c r="H49">
        <v>1148.9816249999999</v>
      </c>
      <c r="I49">
        <v>0</v>
      </c>
      <c r="J49" t="s">
        <v>55</v>
      </c>
      <c r="K49">
        <f>((parameters!$B$3/2)/inputs_df!E49)+((parameters!$B$3/2)/inputs_df!F49)</f>
        <v>19.193207683987549</v>
      </c>
      <c r="L49">
        <f t="shared" si="0"/>
        <v>22052.6429537105</v>
      </c>
    </row>
    <row r="50" spans="1:12" x14ac:dyDescent="0.2">
      <c r="A50">
        <v>49</v>
      </c>
      <c r="B50">
        <v>1750</v>
      </c>
      <c r="C50">
        <v>2750</v>
      </c>
      <c r="D50">
        <v>56.777546000000001</v>
      </c>
      <c r="E50">
        <v>25.697112000000001</v>
      </c>
      <c r="F50">
        <v>17.987978999999999</v>
      </c>
      <c r="G50">
        <v>2.9180379259999998</v>
      </c>
      <c r="H50">
        <v>933.37050999999997</v>
      </c>
      <c r="I50">
        <v>0</v>
      </c>
      <c r="J50" t="s">
        <v>56</v>
      </c>
      <c r="K50">
        <f>((parameters!$B$3/2)/inputs_df!E50)+((parameters!$B$3/2)/inputs_df!F50)</f>
        <v>23.626890260280589</v>
      </c>
      <c r="L50">
        <f t="shared" si="0"/>
        <v>22052.642611952127</v>
      </c>
    </row>
    <row r="51" spans="1:12" x14ac:dyDescent="0.2">
      <c r="A51">
        <v>50</v>
      </c>
      <c r="B51">
        <v>2250</v>
      </c>
      <c r="C51">
        <v>2750</v>
      </c>
      <c r="D51">
        <v>71.362629999999996</v>
      </c>
      <c r="E51">
        <v>26.156282000000001</v>
      </c>
      <c r="F51">
        <v>18.309398000000002</v>
      </c>
      <c r="G51">
        <v>3.7331621799999999</v>
      </c>
      <c r="H51">
        <v>950.04848300000003</v>
      </c>
      <c r="I51">
        <v>0</v>
      </c>
      <c r="J51" t="s">
        <v>57</v>
      </c>
      <c r="K51">
        <f>((parameters!$B$3/2)/inputs_df!E51)+((parameters!$B$3/2)/inputs_df!F51)</f>
        <v>23.212123398855603</v>
      </c>
      <c r="L51">
        <f t="shared" si="0"/>
        <v>22052.642622291569</v>
      </c>
    </row>
    <row r="52" spans="1:12" x14ac:dyDescent="0.2">
      <c r="A52">
        <v>51</v>
      </c>
      <c r="B52">
        <v>2750</v>
      </c>
      <c r="C52">
        <v>2750</v>
      </c>
      <c r="D52">
        <v>91.637242999999998</v>
      </c>
      <c r="E52">
        <v>35.399552999999997</v>
      </c>
      <c r="F52">
        <v>24.779686999999999</v>
      </c>
      <c r="G52">
        <v>6.4878348684000002</v>
      </c>
      <c r="H52">
        <v>1285.7825560000001</v>
      </c>
      <c r="I52">
        <v>0</v>
      </c>
      <c r="J52" t="s">
        <v>58</v>
      </c>
      <c r="K52">
        <f>((parameters!$B$3/2)/inputs_df!E52)+((parameters!$B$3/2)/inputs_df!F52)</f>
        <v>17.151144778131233</v>
      </c>
      <c r="L52">
        <f t="shared" si="0"/>
        <v>22052.64277115163</v>
      </c>
    </row>
    <row r="53" spans="1:12" x14ac:dyDescent="0.2">
      <c r="A53">
        <v>52</v>
      </c>
      <c r="B53">
        <v>3250</v>
      </c>
      <c r="C53">
        <v>2750</v>
      </c>
      <c r="D53">
        <v>100</v>
      </c>
      <c r="E53">
        <v>47.960650000000001</v>
      </c>
      <c r="F53">
        <v>33.572454999999998</v>
      </c>
      <c r="G53">
        <v>9.5921299726000004</v>
      </c>
      <c r="H53">
        <v>1742.0267240000001</v>
      </c>
      <c r="I53">
        <v>0</v>
      </c>
      <c r="J53" t="s">
        <v>59</v>
      </c>
      <c r="K53">
        <f>((parameters!$B$3/2)/inputs_df!E53)+((parameters!$B$3/2)/inputs_df!F53)</f>
        <v>12.659187420163345</v>
      </c>
      <c r="L53">
        <f t="shared" si="0"/>
        <v>22052.642790049165</v>
      </c>
    </row>
    <row r="54" spans="1:12" x14ac:dyDescent="0.2">
      <c r="A54">
        <v>53</v>
      </c>
      <c r="B54">
        <v>3750</v>
      </c>
      <c r="C54">
        <v>2750</v>
      </c>
      <c r="D54">
        <v>92.965812</v>
      </c>
      <c r="E54">
        <v>56.901240999999999</v>
      </c>
      <c r="F54">
        <v>39.830869</v>
      </c>
      <c r="G54">
        <v>10.579740182</v>
      </c>
      <c r="H54">
        <v>2066.766893</v>
      </c>
      <c r="I54">
        <v>0</v>
      </c>
      <c r="J54" t="s">
        <v>60</v>
      </c>
      <c r="K54">
        <f>((parameters!$B$3/2)/inputs_df!E54)+((parameters!$B$3/2)/inputs_df!F54)</f>
        <v>10.670116218606058</v>
      </c>
      <c r="L54">
        <f t="shared" si="0"/>
        <v>22052.64294507735</v>
      </c>
    </row>
    <row r="55" spans="1:12" x14ac:dyDescent="0.2">
      <c r="A55">
        <v>54</v>
      </c>
      <c r="B55">
        <v>4250</v>
      </c>
      <c r="C55">
        <v>2750</v>
      </c>
      <c r="D55">
        <v>82.408704999999998</v>
      </c>
      <c r="E55">
        <v>60.130468</v>
      </c>
      <c r="F55">
        <v>42.091327</v>
      </c>
      <c r="G55">
        <v>9.9105478904000002</v>
      </c>
      <c r="H55">
        <v>2184.058845</v>
      </c>
      <c r="I55">
        <v>0</v>
      </c>
      <c r="J55" t="s">
        <v>61</v>
      </c>
      <c r="K55">
        <f>((parameters!$B$3/2)/inputs_df!E55)+((parameters!$B$3/2)/inputs_df!F55)</f>
        <v>10.097091914099654</v>
      </c>
      <c r="L55">
        <f t="shared" si="0"/>
        <v>22052.64290376733</v>
      </c>
    </row>
    <row r="56" spans="1:12" x14ac:dyDescent="0.2">
      <c r="A56">
        <v>55</v>
      </c>
      <c r="B56">
        <v>250</v>
      </c>
      <c r="C56">
        <v>3250</v>
      </c>
      <c r="D56">
        <v>95.013760000000005</v>
      </c>
      <c r="E56">
        <v>36.639547999999998</v>
      </c>
      <c r="F56">
        <v>25.647684000000002</v>
      </c>
      <c r="G56">
        <v>6.9625224897000004</v>
      </c>
      <c r="H56">
        <v>1330.8216689999999</v>
      </c>
      <c r="I56">
        <v>0</v>
      </c>
      <c r="J56" t="s">
        <v>62</v>
      </c>
      <c r="K56">
        <f>((parameters!$B$3/2)/inputs_df!E56)+((parameters!$B$3/2)/inputs_df!F56)</f>
        <v>16.570697094103753</v>
      </c>
      <c r="L56">
        <f t="shared" si="0"/>
        <v>22052.642763268606</v>
      </c>
    </row>
    <row r="57" spans="1:12" x14ac:dyDescent="0.2">
      <c r="A57">
        <v>56</v>
      </c>
      <c r="B57">
        <v>750</v>
      </c>
      <c r="C57">
        <v>3250</v>
      </c>
      <c r="D57">
        <v>85.161803000000006</v>
      </c>
      <c r="E57">
        <v>34.165993999999998</v>
      </c>
      <c r="F57">
        <v>23.916195999999999</v>
      </c>
      <c r="G57">
        <v>5.8192752808000003</v>
      </c>
      <c r="H57">
        <v>1240.977226</v>
      </c>
      <c r="I57">
        <v>0</v>
      </c>
      <c r="J57" t="s">
        <v>63</v>
      </c>
      <c r="K57">
        <f>((parameters!$B$3/2)/inputs_df!E57)+((parameters!$B$3/2)/inputs_df!F57)</f>
        <v>17.77038461565725</v>
      </c>
      <c r="L57">
        <f t="shared" si="0"/>
        <v>22052.64260529141</v>
      </c>
    </row>
    <row r="58" spans="1:12" x14ac:dyDescent="0.2">
      <c r="A58">
        <v>57</v>
      </c>
      <c r="B58">
        <v>1250</v>
      </c>
      <c r="C58">
        <v>3250</v>
      </c>
      <c r="D58">
        <v>75.793407999999999</v>
      </c>
      <c r="E58">
        <v>27.752054999999999</v>
      </c>
      <c r="F58">
        <v>19.426438999999998</v>
      </c>
      <c r="G58">
        <v>4.2068456561999996</v>
      </c>
      <c r="H58">
        <v>1008.010142</v>
      </c>
      <c r="I58">
        <v>1</v>
      </c>
      <c r="J58" t="s">
        <v>64</v>
      </c>
      <c r="K58">
        <f>((parameters!$B$3/2)/inputs_df!E58)+((parameters!$B$3/2)/inputs_df!F58)</f>
        <v>21.877401437503345</v>
      </c>
      <c r="L58">
        <f t="shared" si="0"/>
        <v>22052.642529608751</v>
      </c>
    </row>
    <row r="59" spans="1:12" x14ac:dyDescent="0.2">
      <c r="A59">
        <v>58</v>
      </c>
      <c r="B59">
        <v>1750</v>
      </c>
      <c r="C59">
        <v>3250</v>
      </c>
      <c r="D59">
        <v>74.906565000000001</v>
      </c>
      <c r="E59">
        <v>20.714008</v>
      </c>
      <c r="F59">
        <v>14.499805</v>
      </c>
      <c r="G59">
        <v>3.1032303187000001</v>
      </c>
      <c r="H59">
        <v>752.37418600000001</v>
      </c>
      <c r="I59">
        <v>0</v>
      </c>
      <c r="J59" t="s">
        <v>65</v>
      </c>
      <c r="K59">
        <f>((parameters!$B$3/2)/inputs_df!E59)+((parameters!$B$3/2)/inputs_df!F59)</f>
        <v>29.310738507071203</v>
      </c>
      <c r="L59">
        <f t="shared" si="0"/>
        <v>22052.643025316553</v>
      </c>
    </row>
    <row r="60" spans="1:12" x14ac:dyDescent="0.2">
      <c r="A60">
        <v>59</v>
      </c>
      <c r="B60">
        <v>2250</v>
      </c>
      <c r="C60">
        <v>3250</v>
      </c>
      <c r="D60">
        <v>83.362213999999994</v>
      </c>
      <c r="E60">
        <v>20.69</v>
      </c>
      <c r="F60">
        <v>14.483000000000001</v>
      </c>
      <c r="G60">
        <v>3.449528398</v>
      </c>
      <c r="H60">
        <v>751.50217999999995</v>
      </c>
      <c r="I60">
        <v>0</v>
      </c>
      <c r="J60" t="s">
        <v>66</v>
      </c>
      <c r="K60">
        <f>((parameters!$B$3/2)/inputs_df!E60)+((parameters!$B$3/2)/inputs_df!F60)</f>
        <v>29.344749016087825</v>
      </c>
      <c r="L60">
        <f t="shared" si="0"/>
        <v>22052.642857142855</v>
      </c>
    </row>
    <row r="61" spans="1:12" x14ac:dyDescent="0.2">
      <c r="A61">
        <v>60</v>
      </c>
      <c r="B61">
        <v>2750</v>
      </c>
      <c r="C61">
        <v>3250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 t="s">
        <v>10</v>
      </c>
      <c r="K61">
        <v>0</v>
      </c>
      <c r="L61">
        <f t="shared" si="0"/>
        <v>0</v>
      </c>
    </row>
    <row r="62" spans="1:12" x14ac:dyDescent="0.2">
      <c r="A62">
        <v>61</v>
      </c>
      <c r="B62">
        <v>3250</v>
      </c>
      <c r="C62">
        <v>3250</v>
      </c>
      <c r="D62">
        <v>92.894211999999996</v>
      </c>
      <c r="E62">
        <v>43.941476999999999</v>
      </c>
      <c r="F62">
        <v>30.759034</v>
      </c>
      <c r="G62">
        <v>8.1638177628000008</v>
      </c>
      <c r="H62">
        <v>1596.0423290000001</v>
      </c>
      <c r="I62">
        <v>0</v>
      </c>
      <c r="J62" t="s">
        <v>67</v>
      </c>
      <c r="K62">
        <f>((parameters!$B$3/2)/inputs_df!E62)+((parameters!$B$3/2)/inputs_df!F62)</f>
        <v>13.8170789293623</v>
      </c>
      <c r="L62">
        <f t="shared" si="0"/>
        <v>22052.642834396233</v>
      </c>
    </row>
    <row r="63" spans="1:12" x14ac:dyDescent="0.2">
      <c r="A63">
        <v>62</v>
      </c>
      <c r="B63">
        <v>3750</v>
      </c>
      <c r="C63">
        <v>3250</v>
      </c>
      <c r="D63">
        <v>79.089295000000007</v>
      </c>
      <c r="E63">
        <v>54.026848999999999</v>
      </c>
      <c r="F63">
        <v>37.818793999999997</v>
      </c>
      <c r="G63">
        <v>8.5458907567000004</v>
      </c>
      <c r="H63">
        <v>1962.3631969999999</v>
      </c>
      <c r="I63">
        <v>0</v>
      </c>
      <c r="J63" t="s">
        <v>68</v>
      </c>
      <c r="K63">
        <f>((parameters!$B$3/2)/inputs_df!E63)+((parameters!$B$3/2)/inputs_df!F63)</f>
        <v>11.237798820655184</v>
      </c>
      <c r="L63">
        <f t="shared" si="0"/>
        <v>22052.642820943736</v>
      </c>
    </row>
    <row r="64" spans="1:12" x14ac:dyDescent="0.2">
      <c r="A64">
        <v>63</v>
      </c>
      <c r="B64">
        <v>4250</v>
      </c>
      <c r="C64">
        <v>3250</v>
      </c>
      <c r="D64">
        <v>63.391646000000001</v>
      </c>
      <c r="E64">
        <v>58.085500000000003</v>
      </c>
      <c r="F64">
        <v>40.659849999999999</v>
      </c>
      <c r="G64">
        <v>7.3642709318000001</v>
      </c>
      <c r="H64">
        <v>2109.7815310000001</v>
      </c>
      <c r="I64">
        <v>1</v>
      </c>
      <c r="J64" t="s">
        <v>69</v>
      </c>
      <c r="K64">
        <f>((parameters!$B$3/2)/inputs_df!E64)+((parameters!$B$3/2)/inputs_df!F64)</f>
        <v>10.452571763053726</v>
      </c>
      <c r="L64">
        <f t="shared" si="0"/>
        <v>22052.642857142859</v>
      </c>
    </row>
    <row r="65" spans="1:12" x14ac:dyDescent="0.2">
      <c r="A65">
        <v>64</v>
      </c>
      <c r="B65">
        <v>250</v>
      </c>
      <c r="C65">
        <v>3750</v>
      </c>
      <c r="D65">
        <v>90.592867999999996</v>
      </c>
      <c r="E65">
        <v>40.623063000000002</v>
      </c>
      <c r="F65">
        <v>28.436143999999999</v>
      </c>
      <c r="G65">
        <v>7.3603195050999997</v>
      </c>
      <c r="H65">
        <v>1475.510884</v>
      </c>
      <c r="I65">
        <v>0</v>
      </c>
      <c r="J65" t="s">
        <v>70</v>
      </c>
      <c r="K65">
        <f>((parameters!$B$3/2)/inputs_df!E65)+((parameters!$B$3/2)/inputs_df!F65)</f>
        <v>14.945767590169261</v>
      </c>
      <c r="L65">
        <f t="shared" si="0"/>
        <v>22052.642749029197</v>
      </c>
    </row>
    <row r="66" spans="1:12" x14ac:dyDescent="0.2">
      <c r="A66">
        <v>65</v>
      </c>
      <c r="B66">
        <v>750</v>
      </c>
      <c r="C66">
        <v>3750</v>
      </c>
      <c r="D66">
        <v>84.707507000000007</v>
      </c>
      <c r="E66">
        <v>37.853285999999997</v>
      </c>
      <c r="F66">
        <v>26.497299999999999</v>
      </c>
      <c r="G66">
        <v>6.4129149694000001</v>
      </c>
      <c r="H66">
        <v>1374.907052</v>
      </c>
      <c r="I66">
        <v>0</v>
      </c>
      <c r="J66" t="s">
        <v>71</v>
      </c>
      <c r="K66">
        <f>((parameters!$B$3/2)/inputs_df!E66)+((parameters!$B$3/2)/inputs_df!F66)</f>
        <v>16.039369999173907</v>
      </c>
      <c r="L66">
        <f t="shared" si="0"/>
        <v>22052.64292150144</v>
      </c>
    </row>
    <row r="67" spans="1:12" x14ac:dyDescent="0.2">
      <c r="A67">
        <v>66</v>
      </c>
      <c r="B67">
        <v>1250</v>
      </c>
      <c r="C67">
        <v>3750</v>
      </c>
      <c r="D67">
        <v>80.560176999999996</v>
      </c>
      <c r="E67">
        <v>30.822009000000001</v>
      </c>
      <c r="F67">
        <v>21.575406999999998</v>
      </c>
      <c r="G67">
        <v>4.9660530456999998</v>
      </c>
      <c r="H67">
        <v>1119.5170270000001</v>
      </c>
      <c r="I67">
        <v>0</v>
      </c>
      <c r="J67" t="s">
        <v>72</v>
      </c>
      <c r="K67">
        <f>((parameters!$B$3/2)/inputs_df!E67)+((parameters!$B$3/2)/inputs_df!F67)</f>
        <v>19.69835404160677</v>
      </c>
      <c r="L67">
        <f t="shared" si="0"/>
        <v>22052.642753453048</v>
      </c>
    </row>
    <row r="68" spans="1:12" x14ac:dyDescent="0.2">
      <c r="A68">
        <v>67</v>
      </c>
      <c r="B68">
        <v>1750</v>
      </c>
      <c r="C68">
        <v>3750</v>
      </c>
      <c r="D68">
        <v>80.560730000000007</v>
      </c>
      <c r="E68">
        <v>22.969633000000002</v>
      </c>
      <c r="F68">
        <v>16.078742999999999</v>
      </c>
      <c r="G68">
        <v>3.7009007723999998</v>
      </c>
      <c r="H68">
        <v>834.30300499999998</v>
      </c>
      <c r="I68">
        <v>0</v>
      </c>
      <c r="J68" t="s">
        <v>73</v>
      </c>
      <c r="K68">
        <f>((parameters!$B$3/2)/inputs_df!E68)+((parameters!$B$3/2)/inputs_df!F68)</f>
        <v>26.43241445625485</v>
      </c>
      <c r="L68">
        <f t="shared" ref="L68:L82" si="1">H68*K68</f>
        <v>22052.642810258862</v>
      </c>
    </row>
    <row r="69" spans="1:12" x14ac:dyDescent="0.2">
      <c r="A69">
        <v>68</v>
      </c>
      <c r="B69">
        <v>2250</v>
      </c>
      <c r="C69">
        <v>3750</v>
      </c>
      <c r="D69">
        <v>83.459755000000001</v>
      </c>
      <c r="E69">
        <v>22.012481999999999</v>
      </c>
      <c r="F69">
        <v>15.408737</v>
      </c>
      <c r="G69">
        <v>3.6743126623000002</v>
      </c>
      <c r="H69">
        <v>799.53736000000004</v>
      </c>
      <c r="I69">
        <v>0</v>
      </c>
      <c r="J69" t="s">
        <v>74</v>
      </c>
      <c r="K69">
        <f>((parameters!$B$3/2)/inputs_df!E69)+((parameters!$B$3/2)/inputs_df!F69)</f>
        <v>27.581754134496741</v>
      </c>
      <c r="L69">
        <f t="shared" si="1"/>
        <v>22052.64288486461</v>
      </c>
    </row>
    <row r="70" spans="1:12" x14ac:dyDescent="0.2">
      <c r="A70">
        <v>69</v>
      </c>
      <c r="B70">
        <v>2750</v>
      </c>
      <c r="C70">
        <v>3750</v>
      </c>
      <c r="D70">
        <v>85.124566999999999</v>
      </c>
      <c r="E70">
        <v>30.494216999999999</v>
      </c>
      <c r="F70">
        <v>21.345952</v>
      </c>
      <c r="G70">
        <v>5.1916139726999999</v>
      </c>
      <c r="H70">
        <v>1107.610934</v>
      </c>
      <c r="I70">
        <v>0</v>
      </c>
      <c r="J70" t="s">
        <v>75</v>
      </c>
      <c r="K70">
        <f>((parameters!$B$3/2)/inputs_df!E70)+((parameters!$B$3/2)/inputs_df!F70)</f>
        <v>19.910098215335047</v>
      </c>
      <c r="L70">
        <f t="shared" si="1"/>
        <v>22052.642480318984</v>
      </c>
    </row>
    <row r="71" spans="1:12" x14ac:dyDescent="0.2">
      <c r="A71">
        <v>70</v>
      </c>
      <c r="B71">
        <v>3250</v>
      </c>
      <c r="C71">
        <v>3750</v>
      </c>
      <c r="D71">
        <v>78.032769999999999</v>
      </c>
      <c r="E71">
        <v>42.571119000000003</v>
      </c>
      <c r="F71">
        <v>29.799783999999999</v>
      </c>
      <c r="G71">
        <v>6.6438847284999998</v>
      </c>
      <c r="H71">
        <v>1546.2681990000001</v>
      </c>
      <c r="I71">
        <v>0</v>
      </c>
      <c r="J71" t="s">
        <v>76</v>
      </c>
      <c r="K71">
        <f>((parameters!$B$3/2)/inputs_df!E71)+((parameters!$B$3/2)/inputs_df!F71)</f>
        <v>14.261848478860387</v>
      </c>
      <c r="L71">
        <f t="shared" si="1"/>
        <v>22052.642761818341</v>
      </c>
    </row>
    <row r="72" spans="1:12" x14ac:dyDescent="0.2">
      <c r="A72">
        <v>71</v>
      </c>
      <c r="B72">
        <v>3750</v>
      </c>
      <c r="C72">
        <v>3750</v>
      </c>
      <c r="D72">
        <v>59.136409</v>
      </c>
      <c r="E72">
        <v>51.422629999999998</v>
      </c>
      <c r="F72">
        <v>35.995840999999999</v>
      </c>
      <c r="G72">
        <v>6.0818993686000002</v>
      </c>
      <c r="H72">
        <v>1867.772778</v>
      </c>
      <c r="I72">
        <v>0</v>
      </c>
      <c r="J72" t="s">
        <v>77</v>
      </c>
      <c r="K72">
        <f>((parameters!$B$3/2)/inputs_df!E72)+((parameters!$B$3/2)/inputs_df!F72)</f>
        <v>11.806919582737351</v>
      </c>
      <c r="L72">
        <f t="shared" si="1"/>
        <v>22052.642988671942</v>
      </c>
    </row>
    <row r="73" spans="1:12" x14ac:dyDescent="0.2">
      <c r="A73">
        <v>72</v>
      </c>
      <c r="B73">
        <v>4250</v>
      </c>
      <c r="C73">
        <v>3750</v>
      </c>
      <c r="D73">
        <v>39.402949</v>
      </c>
      <c r="E73">
        <v>54.894523999999997</v>
      </c>
      <c r="F73">
        <v>38.426166000000002</v>
      </c>
      <c r="G73">
        <v>4.3260122135000003</v>
      </c>
      <c r="H73">
        <v>1993.878884</v>
      </c>
      <c r="I73">
        <v>0</v>
      </c>
      <c r="J73" t="s">
        <v>78</v>
      </c>
      <c r="K73">
        <f>((parameters!$B$3/2)/inputs_df!E73)+((parameters!$B$3/2)/inputs_df!F73)</f>
        <v>11.060171768285427</v>
      </c>
      <c r="L73">
        <f t="shared" si="1"/>
        <v>22052.642942197253</v>
      </c>
    </row>
    <row r="74" spans="1:12" x14ac:dyDescent="0.2">
      <c r="A74">
        <v>73</v>
      </c>
      <c r="B74">
        <v>250</v>
      </c>
      <c r="C74">
        <v>4250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 t="s">
        <v>10</v>
      </c>
      <c r="K74">
        <v>0</v>
      </c>
      <c r="L74">
        <f t="shared" si="1"/>
        <v>0</v>
      </c>
    </row>
    <row r="75" spans="1:12" x14ac:dyDescent="0.2">
      <c r="A75">
        <v>74</v>
      </c>
      <c r="B75">
        <v>750</v>
      </c>
      <c r="C75">
        <v>4250</v>
      </c>
      <c r="D75">
        <v>82.496200999999999</v>
      </c>
      <c r="E75">
        <v>42.977552000000003</v>
      </c>
      <c r="F75">
        <v>30.084285999999999</v>
      </c>
      <c r="G75">
        <v>7.0909694583</v>
      </c>
      <c r="H75">
        <v>1561.03063</v>
      </c>
      <c r="I75">
        <v>0</v>
      </c>
      <c r="J75" t="s">
        <v>79</v>
      </c>
      <c r="K75">
        <f>((parameters!$B$3/2)/inputs_df!E75)+((parameters!$B$3/2)/inputs_df!F75)</f>
        <v>14.126976378073387</v>
      </c>
      <c r="L75">
        <f t="shared" si="1"/>
        <v>22052.642835459017</v>
      </c>
    </row>
    <row r="76" spans="1:12" x14ac:dyDescent="0.2">
      <c r="A76">
        <v>75</v>
      </c>
      <c r="B76">
        <v>1250</v>
      </c>
      <c r="C76">
        <v>4250</v>
      </c>
      <c r="D76">
        <v>79.407657</v>
      </c>
      <c r="E76">
        <v>35.199708999999999</v>
      </c>
      <c r="F76">
        <v>24.639796</v>
      </c>
      <c r="G76">
        <v>5.5902528087999999</v>
      </c>
      <c r="H76">
        <v>1278.523817</v>
      </c>
      <c r="I76">
        <v>0</v>
      </c>
      <c r="J76" t="s">
        <v>80</v>
      </c>
      <c r="K76">
        <f>((parameters!$B$3/2)/inputs_df!E76)+((parameters!$B$3/2)/inputs_df!F76)</f>
        <v>17.248519341203171</v>
      </c>
      <c r="L76">
        <f t="shared" si="1"/>
        <v>22052.642785713404</v>
      </c>
    </row>
    <row r="77" spans="1:12" x14ac:dyDescent="0.2">
      <c r="A77">
        <v>76</v>
      </c>
      <c r="B77">
        <v>1750</v>
      </c>
      <c r="C77">
        <v>4250</v>
      </c>
      <c r="D77">
        <v>78.323944999999995</v>
      </c>
      <c r="E77">
        <v>26.639517000000001</v>
      </c>
      <c r="F77">
        <v>18.647662</v>
      </c>
      <c r="G77">
        <v>4.1730241138000004</v>
      </c>
      <c r="H77">
        <v>967.60052800000005</v>
      </c>
      <c r="I77">
        <v>0</v>
      </c>
      <c r="J77" t="s">
        <v>81</v>
      </c>
      <c r="K77">
        <f>((parameters!$B$3/2)/inputs_df!E77)+((parameters!$B$3/2)/inputs_df!F77)</f>
        <v>22.791060935062823</v>
      </c>
      <c r="L77">
        <f t="shared" si="1"/>
        <v>22052.642594446963</v>
      </c>
    </row>
    <row r="78" spans="1:12" x14ac:dyDescent="0.2">
      <c r="A78">
        <v>77</v>
      </c>
      <c r="B78">
        <v>2250</v>
      </c>
      <c r="C78">
        <v>4250</v>
      </c>
      <c r="D78">
        <v>77.558924000000005</v>
      </c>
      <c r="E78">
        <v>24.859848</v>
      </c>
      <c r="F78">
        <v>17.401893999999999</v>
      </c>
      <c r="G78">
        <v>3.8562062094999998</v>
      </c>
      <c r="H78">
        <v>902.95941700000003</v>
      </c>
      <c r="I78">
        <v>0</v>
      </c>
      <c r="J78" t="s">
        <v>82</v>
      </c>
      <c r="K78">
        <f>((parameters!$B$3/2)/inputs_df!E78)+((parameters!$B$3/2)/inputs_df!F78)</f>
        <v>24.422629170281738</v>
      </c>
      <c r="L78">
        <f t="shared" si="1"/>
        <v>22052.642997204792</v>
      </c>
    </row>
    <row r="79" spans="1:12" x14ac:dyDescent="0.2">
      <c r="A79">
        <v>78</v>
      </c>
      <c r="B79">
        <v>2750</v>
      </c>
      <c r="C79">
        <v>4250</v>
      </c>
      <c r="D79">
        <v>75.128383999999997</v>
      </c>
      <c r="E79">
        <v>32.003100000000003</v>
      </c>
      <c r="F79">
        <v>22.402170000000002</v>
      </c>
      <c r="G79">
        <v>4.8086823620999999</v>
      </c>
      <c r="H79">
        <v>1162.4166009999999</v>
      </c>
      <c r="I79">
        <v>0</v>
      </c>
      <c r="J79" t="s">
        <v>83</v>
      </c>
      <c r="K79">
        <f>((parameters!$B$3/2)/inputs_df!E79)+((parameters!$B$3/2)/inputs_df!F79)</f>
        <v>18.971376433622275</v>
      </c>
      <c r="L79">
        <f t="shared" si="1"/>
        <v>22052.642910262704</v>
      </c>
    </row>
    <row r="80" spans="1:12" x14ac:dyDescent="0.2">
      <c r="A80">
        <v>79</v>
      </c>
      <c r="B80">
        <v>3250</v>
      </c>
      <c r="C80">
        <v>4250</v>
      </c>
      <c r="D80">
        <v>65.368909000000002</v>
      </c>
      <c r="E80">
        <v>42.217379000000001</v>
      </c>
      <c r="F80">
        <v>29.552164999999999</v>
      </c>
      <c r="G80">
        <v>5.5194080324000003</v>
      </c>
      <c r="H80">
        <v>1533.419637</v>
      </c>
      <c r="I80">
        <v>0</v>
      </c>
      <c r="J80" t="s">
        <v>84</v>
      </c>
      <c r="K80">
        <f>((parameters!$B$3/2)/inputs_df!E80)+((parameters!$B$3/2)/inputs_df!F80)</f>
        <v>14.381348988254512</v>
      </c>
      <c r="L80">
        <f t="shared" si="1"/>
        <v>22052.642945139549</v>
      </c>
    </row>
    <row r="81" spans="1:12" x14ac:dyDescent="0.2">
      <c r="A81">
        <v>80</v>
      </c>
      <c r="B81">
        <v>3750</v>
      </c>
      <c r="C81">
        <v>4250</v>
      </c>
      <c r="D81">
        <v>44.536594999999998</v>
      </c>
      <c r="E81">
        <v>49.315570000000001</v>
      </c>
      <c r="F81">
        <v>34.520899</v>
      </c>
      <c r="G81">
        <v>4.3926951436000001</v>
      </c>
      <c r="H81">
        <v>1791.2401460000001</v>
      </c>
      <c r="I81">
        <v>0</v>
      </c>
      <c r="J81" t="s">
        <v>85</v>
      </c>
      <c r="K81">
        <f>((parameters!$B$3/2)/inputs_df!E81)+((parameters!$B$3/2)/inputs_df!F81)</f>
        <v>12.311382736585163</v>
      </c>
      <c r="L81">
        <f t="shared" si="1"/>
        <v>22052.643010542688</v>
      </c>
    </row>
    <row r="82" spans="1:12" x14ac:dyDescent="0.2">
      <c r="A82">
        <v>81</v>
      </c>
      <c r="B82">
        <v>4250</v>
      </c>
      <c r="C82">
        <v>4250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 t="s">
        <v>10</v>
      </c>
      <c r="K82">
        <v>0</v>
      </c>
      <c r="L82">
        <f t="shared" si="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I8" sqref="I8"/>
    </sheetView>
  </sheetViews>
  <sheetFormatPr baseColWidth="10" defaultColWidth="8.83203125" defaultRowHeight="15" x14ac:dyDescent="0.2"/>
  <sheetData>
    <row r="1" spans="1:6" x14ac:dyDescent="0.2">
      <c r="A1" s="1" t="s">
        <v>86</v>
      </c>
      <c r="B1" s="1" t="s">
        <v>1</v>
      </c>
      <c r="C1" s="1" t="s">
        <v>2</v>
      </c>
      <c r="D1" s="1" t="s">
        <v>87</v>
      </c>
      <c r="E1" s="1" t="s">
        <v>88</v>
      </c>
      <c r="F1" s="1" t="s">
        <v>89</v>
      </c>
    </row>
    <row r="2" spans="1:6" x14ac:dyDescent="0.2">
      <c r="A2" t="s">
        <v>90</v>
      </c>
      <c r="B2">
        <v>7</v>
      </c>
      <c r="C2">
        <v>0</v>
      </c>
      <c r="D2">
        <v>45</v>
      </c>
      <c r="E2">
        <v>0</v>
      </c>
      <c r="F2">
        <v>0</v>
      </c>
    </row>
    <row r="3" spans="1:6" x14ac:dyDescent="0.2">
      <c r="A3" t="s">
        <v>91</v>
      </c>
      <c r="B3">
        <v>1</v>
      </c>
      <c r="C3">
        <v>1</v>
      </c>
      <c r="D3">
        <v>0</v>
      </c>
      <c r="E3">
        <v>45</v>
      </c>
      <c r="F3">
        <v>45</v>
      </c>
    </row>
    <row r="4" spans="1:6" x14ac:dyDescent="0.2">
      <c r="A4" t="s">
        <v>92</v>
      </c>
      <c r="B4">
        <v>8</v>
      </c>
      <c r="C4">
        <v>3</v>
      </c>
      <c r="D4">
        <v>0</v>
      </c>
      <c r="E4">
        <v>45</v>
      </c>
      <c r="F4">
        <v>45</v>
      </c>
    </row>
    <row r="5" spans="1:6" x14ac:dyDescent="0.2">
      <c r="A5" t="s">
        <v>93</v>
      </c>
      <c r="B5">
        <v>6</v>
      </c>
      <c r="C5">
        <v>4</v>
      </c>
      <c r="D5">
        <v>0</v>
      </c>
      <c r="E5">
        <v>45</v>
      </c>
      <c r="F5">
        <v>45</v>
      </c>
    </row>
    <row r="6" spans="1:6" x14ac:dyDescent="0.2">
      <c r="A6" t="s">
        <v>94</v>
      </c>
      <c r="B6">
        <v>2</v>
      </c>
      <c r="C6">
        <v>6</v>
      </c>
      <c r="D6">
        <v>0</v>
      </c>
      <c r="E6">
        <v>45</v>
      </c>
      <c r="F6">
        <v>45</v>
      </c>
    </row>
    <row r="7" spans="1:6" x14ac:dyDescent="0.2">
      <c r="A7" t="s">
        <v>95</v>
      </c>
      <c r="B7">
        <v>5</v>
      </c>
      <c r="C7">
        <v>6</v>
      </c>
      <c r="D7">
        <v>0</v>
      </c>
      <c r="E7">
        <v>45</v>
      </c>
      <c r="F7">
        <v>45</v>
      </c>
    </row>
    <row r="8" spans="1:6" x14ac:dyDescent="0.2">
      <c r="A8" t="s">
        <v>96</v>
      </c>
      <c r="B8">
        <v>8</v>
      </c>
      <c r="C8">
        <v>6</v>
      </c>
      <c r="D8">
        <v>0</v>
      </c>
      <c r="E8">
        <v>45</v>
      </c>
      <c r="F8">
        <v>45</v>
      </c>
    </row>
    <row r="9" spans="1:6" x14ac:dyDescent="0.2">
      <c r="A9" t="s">
        <v>97</v>
      </c>
      <c r="B9">
        <v>0</v>
      </c>
      <c r="C9">
        <v>7</v>
      </c>
      <c r="D9">
        <v>0</v>
      </c>
      <c r="E9">
        <v>45</v>
      </c>
      <c r="F9">
        <v>45</v>
      </c>
    </row>
    <row r="10" spans="1:6" x14ac:dyDescent="0.2">
      <c r="A10" t="s">
        <v>98</v>
      </c>
      <c r="B10">
        <v>6</v>
      </c>
      <c r="C10">
        <v>7</v>
      </c>
      <c r="D10">
        <v>0</v>
      </c>
      <c r="E10">
        <v>45</v>
      </c>
      <c r="F10">
        <v>45</v>
      </c>
    </row>
    <row r="11" spans="1:6" x14ac:dyDescent="0.2">
      <c r="A11" t="s">
        <v>99</v>
      </c>
      <c r="B11">
        <v>7</v>
      </c>
      <c r="C11">
        <v>8</v>
      </c>
      <c r="D11">
        <v>0</v>
      </c>
      <c r="E11">
        <v>45</v>
      </c>
      <c r="F11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baseColWidth="10" defaultColWidth="8.83203125" defaultRowHeight="15" x14ac:dyDescent="0.2"/>
  <sheetData>
    <row r="1" spans="1:3" x14ac:dyDescent="0.2">
      <c r="A1" s="1" t="s">
        <v>100</v>
      </c>
      <c r="B1" s="1" t="s">
        <v>101</v>
      </c>
      <c r="C1" s="1" t="s">
        <v>102</v>
      </c>
    </row>
    <row r="2" spans="1:3" x14ac:dyDescent="0.2">
      <c r="A2" t="s">
        <v>103</v>
      </c>
      <c r="B2">
        <v>81</v>
      </c>
      <c r="C2" t="s">
        <v>104</v>
      </c>
    </row>
    <row r="3" spans="1:3" x14ac:dyDescent="0.2">
      <c r="A3" t="s">
        <v>105</v>
      </c>
      <c r="B3">
        <v>500</v>
      </c>
      <c r="C3" t="s">
        <v>106</v>
      </c>
    </row>
    <row r="4" spans="1:3" x14ac:dyDescent="0.2">
      <c r="A4" t="s">
        <v>107</v>
      </c>
      <c r="B4">
        <v>4500</v>
      </c>
      <c r="C4" t="s">
        <v>108</v>
      </c>
    </row>
    <row r="5" spans="1:3" x14ac:dyDescent="0.2">
      <c r="A5" t="s">
        <v>109</v>
      </c>
      <c r="B5">
        <v>250000</v>
      </c>
      <c r="C5" t="s">
        <v>110</v>
      </c>
    </row>
    <row r="6" spans="1:3" x14ac:dyDescent="0.2">
      <c r="A6" t="s">
        <v>111</v>
      </c>
      <c r="B6">
        <v>24</v>
      </c>
      <c r="C6" t="s">
        <v>112</v>
      </c>
    </row>
    <row r="7" spans="1:3" x14ac:dyDescent="0.2">
      <c r="A7" t="s">
        <v>113</v>
      </c>
      <c r="B7">
        <v>36322</v>
      </c>
      <c r="C7" t="s">
        <v>114</v>
      </c>
    </row>
    <row r="8" spans="1:3" x14ac:dyDescent="0.2">
      <c r="A8" t="s">
        <v>115</v>
      </c>
      <c r="B8">
        <v>3.6322E-2</v>
      </c>
      <c r="C8" t="s">
        <v>116</v>
      </c>
    </row>
    <row r="9" spans="1:3" x14ac:dyDescent="0.2">
      <c r="A9" t="s">
        <v>117</v>
      </c>
      <c r="B9">
        <v>9080.5</v>
      </c>
      <c r="C9" t="s">
        <v>116</v>
      </c>
    </row>
    <row r="10" spans="1:3" x14ac:dyDescent="0.2">
      <c r="A10" t="s">
        <v>118</v>
      </c>
      <c r="B10" t="s">
        <v>119</v>
      </c>
      <c r="C10" t="s">
        <v>120</v>
      </c>
    </row>
    <row r="11" spans="1:3" x14ac:dyDescent="0.2">
      <c r="A11" t="s">
        <v>121</v>
      </c>
      <c r="B11">
        <v>166.67</v>
      </c>
    </row>
    <row r="12" spans="1:3" x14ac:dyDescent="0.2">
      <c r="A12" t="s">
        <v>122</v>
      </c>
      <c r="B12">
        <v>2000</v>
      </c>
    </row>
    <row r="13" spans="1:3" x14ac:dyDescent="0.2">
      <c r="A13" t="s">
        <v>123</v>
      </c>
      <c r="B13">
        <v>117.65</v>
      </c>
    </row>
    <row r="14" spans="1:3" x14ac:dyDescent="0.2">
      <c r="A14" t="s">
        <v>124</v>
      </c>
      <c r="B14">
        <v>500</v>
      </c>
    </row>
    <row r="15" spans="1:3" x14ac:dyDescent="0.2">
      <c r="A15" t="s">
        <v>125</v>
      </c>
      <c r="B15">
        <v>15</v>
      </c>
    </row>
    <row r="16" spans="1:3" x14ac:dyDescent="0.2">
      <c r="A16" t="s">
        <v>126</v>
      </c>
      <c r="B16">
        <v>1000</v>
      </c>
    </row>
    <row r="17" spans="1:2" x14ac:dyDescent="0.2">
      <c r="A17" t="s">
        <v>129</v>
      </c>
      <c r="B17">
        <f>455.157336018226+MAX(inputs_df!K2:K82)</f>
        <v>484.50208503431378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2026-02-26T08:33:21Z</dcterms:created>
  <dcterms:modified xsi:type="dcterms:W3CDTF">2026-08-25T10:16:16Z</dcterms:modified>
</cp:coreProperties>
</file>